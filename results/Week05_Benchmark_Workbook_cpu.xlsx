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" sheetId="1" state="visible" r:id="rId1"/>
    <sheet name="Methodology" sheetId="2" state="visible" r:id="rId2"/>
    <sheet name="Acc_Runs" sheetId="3" state="visible" r:id="rId3"/>
    <sheet name="Latency_Runs" sheetId="4" state="visible" r:id="rId4"/>
    <sheet name="ScalingLaw" sheetId="5" state="visible" r:id="rId5"/>
    <sheet name="Hardw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3" borderId="0" pivotButton="0" quotePrefix="0" xfId="0"/>
    <xf numFmtId="11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7677150" cy="5695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3" customWidth="1" min="5" max="5"/>
    <col width="12" customWidth="1" min="6" max="6"/>
    <col width="12" customWidth="1" min="7" max="7"/>
    <col width="28" customWidth="1" min="8" max="8"/>
    <col width="24" customWidth="1" min="9" max="9"/>
    <col width="29" customWidth="1" min="10" max="10"/>
    <col width="27" customWidth="1" min="11" max="11"/>
    <col width="25" customWidth="1" min="12" max="12"/>
    <col width="27" customWidth="1" min="13" max="13"/>
    <col width="25" customWidth="1" min="14" max="14"/>
    <col width="15" customWidth="1" min="15" max="15"/>
    <col width="20" customWidth="1" min="16" max="16"/>
    <col width="20" customWidth="1" min="17" max="17"/>
    <col width="20" customWidth="1" min="18" max="18"/>
    <col width="26" customWidth="1" min="19" max="19"/>
    <col width="21" customWidth="1" min="20" max="20"/>
    <col width="60" customWidth="1" min="21" max="21"/>
  </cols>
  <sheetData>
    <row r="1">
      <c r="A1" s="1" t="inlineStr">
        <is>
          <t>Brightline Logistics - Edge Model Trade-off Board</t>
        </is>
      </c>
    </row>
    <row r="2">
      <c r="A2" t="inlineStr">
        <is>
          <t>[cpu] Intel VM (CPU only) | 13th Gen Intel(R) Core(TM) i9-13900HX | torch 2.14.1+cpu | seeds [0, 1, 2] | 5 trials x 300 timed forwards, batch 1, n_test=2000</t>
        </is>
      </c>
    </row>
    <row r="4">
      <c r="A4" s="2" t="inlineStr">
        <is>
          <t>tag</t>
        </is>
      </c>
      <c r="B4" s="2" t="inlineStr">
        <is>
          <t>config</t>
        </is>
      </c>
      <c r="C4" s="2" t="inlineStr">
        <is>
          <t>technique</t>
        </is>
      </c>
      <c r="D4" s="2" t="inlineStr">
        <is>
          <t>device</t>
        </is>
      </c>
      <c r="E4" s="2" t="inlineStr">
        <is>
          <t>precision</t>
        </is>
      </c>
      <c r="F4" s="2" t="inlineStr">
        <is>
          <t>params</t>
        </is>
      </c>
      <c r="G4" s="2" t="inlineStr">
        <is>
          <t>size MB</t>
        </is>
      </c>
      <c r="H4" s="2" t="inlineStr">
        <is>
          <t>accuracy (mean of seeds)</t>
        </is>
      </c>
      <c r="I4" s="2" t="inlineStr">
        <is>
          <t>accuracy std (seeds)</t>
        </is>
      </c>
      <c r="J4" s="2" t="inlineStr">
        <is>
          <t>acc 95% CI +/- (binomial)</t>
        </is>
      </c>
      <c r="K4" s="2" t="inlineStr">
        <is>
          <t>p50 ms (mean of trials)</t>
        </is>
      </c>
      <c r="L4" s="2" t="inlineStr">
        <is>
          <t>p50 std across trials</t>
        </is>
      </c>
      <c r="M4" s="2" t="inlineStr">
        <is>
          <t>p95 ms (mean of trials)</t>
        </is>
      </c>
      <c r="N4" s="2" t="inlineStr">
        <is>
          <t>p95 std across trials</t>
        </is>
      </c>
      <c r="O4" s="2" t="inlineStr">
        <is>
          <t>peak GPU MB</t>
        </is>
      </c>
      <c r="P4" s="2" t="inlineStr">
        <is>
          <t>CPU RSS delta MB</t>
        </is>
      </c>
      <c r="Q4" s="2" t="inlineStr">
        <is>
          <t>reference config</t>
        </is>
      </c>
      <c r="R4" s="2" t="inlineStr">
        <is>
          <t>acc delta vs ref</t>
        </is>
      </c>
      <c r="S4" s="2" t="inlineStr">
        <is>
          <t>p50 speedup vs ref (x)</t>
        </is>
      </c>
      <c r="T4" s="2" t="inlineStr">
        <is>
          <t>size ratio vs ref</t>
        </is>
      </c>
      <c r="U4" s="2" t="inlineStr">
        <is>
          <t>note</t>
        </is>
      </c>
    </row>
    <row r="5">
      <c r="A5" t="inlineStr">
        <is>
          <t>cpu</t>
        </is>
      </c>
      <c r="B5" t="inlineStr">
        <is>
          <t>baseline_fp32</t>
        </is>
      </c>
      <c r="C5" t="inlineStr">
        <is>
          <t>Baseline: late fusion, softmax attention, FP32</t>
        </is>
      </c>
      <c r="D5" t="inlineStr">
        <is>
          <t>cpu</t>
        </is>
      </c>
      <c r="E5" t="inlineStr">
        <is>
          <t>fp32</t>
        </is>
      </c>
      <c r="F5" t="n">
        <v>138022</v>
      </c>
      <c r="G5" t="n">
        <v>0.5427</v>
      </c>
      <c r="H5" s="3">
        <f>AVERAGEIFS(Acc_Runs!D2:D22,Acc_Runs!A2:A22,A5,Acc_Runs!B2:B22,B5)</f>
        <v/>
      </c>
      <c r="I5" s="3" t="n">
        <v>0.01261942946412397</v>
      </c>
      <c r="J5" s="3">
        <f>AVERAGEIFS(Acc_Runs!F2:F22,Acc_Runs!A2:A22,A5,Acc_Runs!B2:B22,B5)</f>
        <v/>
      </c>
      <c r="K5" s="4">
        <f>AVERAGEIFS(Latency_Runs!E2:E36,Latency_Runs!A2:A36,A5,Latency_Runs!B2:B36,B5)</f>
        <v/>
      </c>
      <c r="L5" s="4" t="n">
        <v>0.006994158842332671</v>
      </c>
      <c r="M5" s="4">
        <f>AVERAGEIFS(Latency_Runs!F2:F36,Latency_Runs!A2:A36,A5,Latency_Runs!B2:B36,B5)</f>
        <v/>
      </c>
      <c r="N5" s="4" t="n">
        <v>0.05974829164885307</v>
      </c>
      <c r="P5" t="n">
        <v>1.49</v>
      </c>
      <c r="Q5" t="inlineStr">
        <is>
          <t>-</t>
        </is>
      </c>
      <c r="R5" s="3" t="n"/>
      <c r="S5" s="4" t="n"/>
      <c r="T5" s="4" t="n"/>
      <c r="U5" t="inlineStr">
        <is>
          <t>Reference for the primary device</t>
        </is>
      </c>
    </row>
    <row r="6">
      <c r="A6" t="inlineStr">
        <is>
          <t>cpu</t>
        </is>
      </c>
      <c r="B6" t="inlineStr">
        <is>
          <t>linear_attn</t>
        </is>
      </c>
      <c r="C6" t="inlineStr">
        <is>
          <t>Architecture variant: linear attention</t>
        </is>
      </c>
      <c r="D6" t="inlineStr">
        <is>
          <t>cpu</t>
        </is>
      </c>
      <c r="E6" t="inlineStr">
        <is>
          <t>fp32</t>
        </is>
      </c>
      <c r="F6" t="n">
        <v>138022</v>
      </c>
      <c r="G6" t="n">
        <v>0.5427</v>
      </c>
      <c r="H6" s="3">
        <f>AVERAGEIFS(Acc_Runs!D2:D22,Acc_Runs!A2:A22,A6,Acc_Runs!B2:B22,B6)</f>
        <v/>
      </c>
      <c r="I6" s="3" t="n">
        <v>0.01252996408614168</v>
      </c>
      <c r="J6" s="3">
        <f>AVERAGEIFS(Acc_Runs!F2:F22,Acc_Runs!A2:A22,A6,Acc_Runs!B2:B22,B6)</f>
        <v/>
      </c>
      <c r="K6" s="4">
        <f>AVERAGEIFS(Latency_Runs!E2:E36,Latency_Runs!A2:A36,A6,Latency_Runs!B2:B36,B6)</f>
        <v/>
      </c>
      <c r="L6" s="4" t="n">
        <v>0.01374806292794725</v>
      </c>
      <c r="M6" s="4">
        <f>AVERAGEIFS(Latency_Runs!F2:F36,Latency_Runs!A2:A36,A6,Latency_Runs!B2:B36,B6)</f>
        <v/>
      </c>
      <c r="N6" s="4" t="n">
        <v>0.08833112205939848</v>
      </c>
      <c r="P6" t="n">
        <v>-37.87</v>
      </c>
      <c r="Q6" t="inlineStr">
        <is>
          <t>baseline_fp32</t>
        </is>
      </c>
      <c r="R6" s="3">
        <f>H6-H5</f>
        <v/>
      </c>
      <c r="S6" s="4">
        <f>K5/K6</f>
        <v/>
      </c>
      <c r="T6" s="4">
        <f>G6/G5</f>
        <v/>
      </c>
      <c r="U6" t="inlineStr">
        <is>
          <t>Sequence length is only 24: no asymptotic advantage expected</t>
        </is>
      </c>
    </row>
    <row r="7">
      <c r="A7" t="inlineStr">
        <is>
          <t>cpu</t>
        </is>
      </c>
      <c r="B7" t="inlineStr">
        <is>
          <t>early_fusion</t>
        </is>
      </c>
      <c r="C7" t="inlineStr">
        <is>
          <t>Fusion variant: early fusion, same budget</t>
        </is>
      </c>
      <c r="D7" t="inlineStr">
        <is>
          <t>cpu</t>
        </is>
      </c>
      <c r="E7" t="inlineStr">
        <is>
          <t>fp32</t>
        </is>
      </c>
      <c r="F7" t="n">
        <v>114630</v>
      </c>
      <c r="G7" t="n">
        <v>0.4471</v>
      </c>
      <c r="H7" s="3">
        <f>AVERAGEIFS(Acc_Runs!D2:D22,Acc_Runs!A2:A22,A7,Acc_Runs!B2:B22,B7)</f>
        <v/>
      </c>
      <c r="I7" s="3" t="n">
        <v>0.008621678104251716</v>
      </c>
      <c r="J7" s="3">
        <f>AVERAGEIFS(Acc_Runs!F2:F22,Acc_Runs!A2:A22,A7,Acc_Runs!B2:B22,B7)</f>
        <v/>
      </c>
      <c r="K7" s="4">
        <f>AVERAGEIFS(Latency_Runs!E2:E36,Latency_Runs!A2:A36,A7,Latency_Runs!B2:B36,B7)</f>
        <v/>
      </c>
      <c r="L7" s="4" t="n">
        <v>0.005299929808446431</v>
      </c>
      <c r="M7" s="4">
        <f>AVERAGEIFS(Latency_Runs!F2:F36,Latency_Runs!A2:A36,A7,Latency_Runs!B2:B36,B7)</f>
        <v/>
      </c>
      <c r="N7" s="4" t="n">
        <v>0.04071163017422458</v>
      </c>
      <c r="P7" t="n">
        <v>0.11</v>
      </c>
      <c r="Q7" t="inlineStr">
        <is>
          <t>baseline_fp32</t>
        </is>
      </c>
      <c r="R7" s="3">
        <f>H7-H5</f>
        <v/>
      </c>
      <c r="S7" s="4">
        <f>K5/K7</f>
        <v/>
      </c>
      <c r="T7" s="4">
        <f>G7/G5</f>
        <v/>
      </c>
      <c r="U7" t="inlineStr">
        <is>
          <t>Image patches + words in one transformer</t>
        </is>
      </c>
    </row>
    <row r="8">
      <c r="A8" t="inlineStr">
        <is>
          <t>cpu</t>
        </is>
      </c>
      <c r="B8" t="inlineStr">
        <is>
          <t>early_fusion_2x</t>
        </is>
      </c>
      <c r="C8" t="inlineStr">
        <is>
          <t>Fusion variant: early fusion, 2x epochs</t>
        </is>
      </c>
      <c r="D8" t="inlineStr">
        <is>
          <t>cpu</t>
        </is>
      </c>
      <c r="E8" t="inlineStr">
        <is>
          <t>fp32</t>
        </is>
      </c>
      <c r="F8" t="n">
        <v>114630</v>
      </c>
      <c r="G8" t="n">
        <v>0.4471</v>
      </c>
      <c r="H8" s="3">
        <f>AVERAGEIFS(Acc_Runs!D2:D22,Acc_Runs!A2:A22,A8,Acc_Runs!B2:B22,B8)</f>
        <v/>
      </c>
      <c r="I8" s="3" t="n">
        <v>0.01381122731693312</v>
      </c>
      <c r="J8" s="3">
        <f>AVERAGEIFS(Acc_Runs!F2:F22,Acc_Runs!A2:A22,A8,Acc_Runs!B2:B22,B8)</f>
        <v/>
      </c>
      <c r="K8" s="4">
        <f>AVERAGEIFS(Latency_Runs!E2:E36,Latency_Runs!A2:A36,A8,Latency_Runs!B2:B36,B8)</f>
        <v/>
      </c>
      <c r="L8" s="4" t="n">
        <v>0.01773631195213339</v>
      </c>
      <c r="M8" s="4">
        <f>AVERAGEIFS(Latency_Runs!F2:F36,Latency_Runs!A2:A36,A8,Latency_Runs!B2:B36,B8)</f>
        <v/>
      </c>
      <c r="N8" s="4" t="n">
        <v>0.04007803653487633</v>
      </c>
      <c r="P8" t="n">
        <v>0</v>
      </c>
      <c r="Q8" t="inlineStr">
        <is>
          <t>baseline_fp32</t>
        </is>
      </c>
      <c r="R8" s="3">
        <f>H8-H5</f>
        <v/>
      </c>
      <c r="S8" s="4">
        <f>K5/K8</f>
        <v/>
      </c>
      <c r="T8" s="4">
        <f>G8/G5</f>
        <v/>
      </c>
      <c r="U8" t="inlineStr">
        <is>
          <t>Same model, double the epochs: separates 'worse' from 'slower to train'</t>
        </is>
      </c>
    </row>
    <row r="9">
      <c r="A9" t="inlineStr">
        <is>
          <t>cpu</t>
        </is>
      </c>
      <c r="B9" t="inlineStr">
        <is>
          <t>student_kd</t>
        </is>
      </c>
      <c r="C9" t="inlineStr">
        <is>
          <t>Distilled student (KD from baseline)</t>
        </is>
      </c>
      <c r="D9" t="inlineStr">
        <is>
          <t>cpu</t>
        </is>
      </c>
      <c r="E9" t="inlineStr">
        <is>
          <t>fp32</t>
        </is>
      </c>
      <c r="F9" t="n">
        <v>9030</v>
      </c>
      <c r="G9" t="n">
        <v>0.0462</v>
      </c>
      <c r="H9" s="3">
        <f>AVERAGEIFS(Acc_Runs!D2:D22,Acc_Runs!A2:A22,A9,Acc_Runs!B2:B22,B9)</f>
        <v/>
      </c>
      <c r="I9" s="3" t="n">
        <v>0.009087537253477088</v>
      </c>
      <c r="J9" s="3">
        <f>AVERAGEIFS(Acc_Runs!F2:F22,Acc_Runs!A2:A22,A9,Acc_Runs!B2:B22,B9)</f>
        <v/>
      </c>
      <c r="K9" s="4">
        <f>AVERAGEIFS(Latency_Runs!E2:E36,Latency_Runs!A2:A36,A9,Latency_Runs!B2:B36,B9)</f>
        <v/>
      </c>
      <c r="L9" s="4" t="n">
        <v>0.01304829515716722</v>
      </c>
      <c r="M9" s="4">
        <f>AVERAGEIFS(Latency_Runs!F2:F36,Latency_Runs!A2:A36,A9,Latency_Runs!B2:B36,B9)</f>
        <v/>
      </c>
      <c r="N9" s="4" t="n">
        <v>0.03932639702326342</v>
      </c>
      <c r="P9" t="n">
        <v>0.12</v>
      </c>
      <c r="Q9" t="inlineStr">
        <is>
          <t>baseline_fp32</t>
        </is>
      </c>
      <c r="R9" s="3">
        <f>H9-H5</f>
        <v/>
      </c>
      <c r="S9" s="4">
        <f>K5/K9</f>
        <v/>
      </c>
      <c r="T9" s="4">
        <f>G9/G5</f>
        <v/>
      </c>
      <c r="U9" t="inlineStr">
        <is>
          <t>Width 16, 1 layer, distilled from the baseline</t>
        </is>
      </c>
    </row>
    <row r="10">
      <c r="A10" t="inlineStr">
        <is>
          <t>cpu</t>
        </is>
      </c>
      <c r="B10" t="inlineStr">
        <is>
          <t>student_nokd</t>
        </is>
      </c>
      <c r="C10" t="inlineStr">
        <is>
          <t>Student, labels only (KD control)</t>
        </is>
      </c>
      <c r="D10" t="inlineStr">
        <is>
          <t>cpu</t>
        </is>
      </c>
      <c r="E10" t="inlineStr">
        <is>
          <t>fp32</t>
        </is>
      </c>
      <c r="F10" t="n">
        <v>9030</v>
      </c>
      <c r="G10" t="n">
        <v>0.0462</v>
      </c>
      <c r="H10" s="3">
        <f>AVERAGEIFS(Acc_Runs!D2:D22,Acc_Runs!A2:A22,A10,Acc_Runs!B2:B22,B10)</f>
        <v/>
      </c>
      <c r="I10" s="3" t="n">
        <v>0.006048415770541379</v>
      </c>
      <c r="J10" s="3">
        <f>AVERAGEIFS(Acc_Runs!F2:F22,Acc_Runs!A2:A22,A10,Acc_Runs!B2:B22,B10)</f>
        <v/>
      </c>
      <c r="K10" s="4">
        <f>AVERAGEIFS(Latency_Runs!E2:E36,Latency_Runs!A2:A36,A10,Latency_Runs!B2:B36,B10)</f>
        <v/>
      </c>
      <c r="L10" s="4" t="n">
        <v>0.005623055525747161</v>
      </c>
      <c r="M10" s="4">
        <f>AVERAGEIFS(Latency_Runs!F2:F36,Latency_Runs!A2:A36,A10,Latency_Runs!B2:B36,B10)</f>
        <v/>
      </c>
      <c r="N10" s="4" t="n">
        <v>0.03776819675374072</v>
      </c>
      <c r="P10" t="n">
        <v>0.01</v>
      </c>
      <c r="Q10" t="inlineStr">
        <is>
          <t>baseline_fp32</t>
        </is>
      </c>
      <c r="R10" s="3">
        <f>H10-H5</f>
        <v/>
      </c>
      <c r="S10" s="4">
        <f>K5/K10</f>
        <v/>
      </c>
      <c r="T10" s="4">
        <f>G10/G5</f>
        <v/>
      </c>
      <c r="U10" t="inlineStr">
        <is>
          <t>Same student from labels only: isolates the effect of KD</t>
        </is>
      </c>
    </row>
    <row r="11">
      <c r="A11" t="inlineStr">
        <is>
          <t>cpu</t>
        </is>
      </c>
      <c r="B11" t="inlineStr">
        <is>
          <t>cpu_baseline_int8</t>
        </is>
      </c>
      <c r="C11" t="inlineStr">
        <is>
          <t>Quantized: dynamic INT8 on CPU</t>
        </is>
      </c>
      <c r="D11" t="inlineStr">
        <is>
          <t>cpu</t>
        </is>
      </c>
      <c r="E11" t="inlineStr">
        <is>
          <t>int8</t>
        </is>
      </c>
      <c r="F11" t="n">
        <v>138022</v>
      </c>
      <c r="G11" t="n">
        <v>0.2439</v>
      </c>
      <c r="H11" s="3">
        <f>AVERAGEIFS(Acc_Runs!D2:D22,Acc_Runs!A2:A22,A11,Acc_Runs!B2:B22,B11)</f>
        <v/>
      </c>
      <c r="I11" s="3" t="n">
        <v>0.01307988277215563</v>
      </c>
      <c r="J11" s="3">
        <f>AVERAGEIFS(Acc_Runs!F2:F22,Acc_Runs!A2:A22,A11,Acc_Runs!B2:B22,B11)</f>
        <v/>
      </c>
      <c r="K11" s="4">
        <f>AVERAGEIFS(Latency_Runs!E2:E36,Latency_Runs!A2:A36,A11,Latency_Runs!B2:B36,B11)</f>
        <v/>
      </c>
      <c r="L11" s="4" t="n">
        <v>0.007886016548185494</v>
      </c>
      <c r="M11" s="4">
        <f>AVERAGEIFS(Latency_Runs!F2:F36,Latency_Runs!A2:A36,A11,Latency_Runs!B2:B36,B11)</f>
        <v/>
      </c>
      <c r="N11" s="4" t="n">
        <v>0.09377574045603485</v>
      </c>
      <c r="P11" t="n">
        <v>3.51</v>
      </c>
      <c r="Q11" t="inlineStr">
        <is>
          <t>baseline_fp32</t>
        </is>
      </c>
      <c r="R11" s="3">
        <f>H11-H5</f>
        <v/>
      </c>
      <c r="S11" s="4">
        <f>K5/K11</f>
        <v/>
      </c>
      <c r="T11" s="4">
        <f>G11/G5</f>
        <v/>
      </c>
      <c r="U11" t="inlineStr">
        <is>
          <t>Dynamic INT8 on Linear layers; convolutions stay FP32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METHODOLOGY AND LIMITS</t>
        </is>
      </c>
    </row>
    <row r="2">
      <c r="A2" s="6" t="inlineStr"/>
    </row>
    <row r="3">
      <c r="A3" s="6" t="inlineStr">
        <is>
          <t>Task: 6-class claim-queue routing from (bill-of-lading image, driver-note transcript). Label = cargo condition (intact/crushed/wet, from the image) x receiver outcome (accepted/refused, from the note).</t>
        </is>
      </c>
    </row>
    <row r="4">
      <c r="A4" s="6" t="inlineStr">
        <is>
          <t>Data: synthetic, generated by the assignment script with a fixed seed. Image: noisy page, low-contrast cue (depth 0.22), faint decoy scratches and smudges. Note: 60% carry a decoy clause about a different load with the opposite outcome. 10% of image cues and 12% of note cues are wrong, so the ceiling is roughly 0.79. Same data for every configuration. The test set is never used for training or selection.</t>
        </is>
      </c>
    </row>
    <row r="5">
      <c r="A5" s="6" t="inlineStr">
        <is>
          <t>Driver notes are text transcripts. No audio model is in the loop, so speech-recognition error is NOT measured (a stated gap).</t>
        </is>
      </c>
    </row>
    <row r="6">
      <c r="A6" s="6" t="inlineStr">
        <is>
          <t>Accuracy: mean over training seeds on a fixed test set; seed std, plus a binomial 95% interval that covers test-set sampling error only.</t>
        </is>
      </c>
    </row>
    <row r="7">
      <c r="A7" s="6" t="inlineStr">
        <is>
          <t>Latency: batch size 1; warm-up before every timed trial; torch.cuda.synchronize() before and after each timed forward; repeated trials; p50/p95 per trial; variance reported across trials.</t>
        </is>
      </c>
    </row>
    <row r="8">
      <c r="A8" s="6" t="inlineStr">
        <is>
          <t>Confounds controlled: input transfer excluded from the timer; CPU thread count pinned; configs visited in shuffled order within each trial round; each config's memory measured alone on a fresh load.</t>
        </is>
      </c>
    </row>
    <row r="9">
      <c r="A9" s="6" t="inlineStr">
        <is>
          <t>Memory: GPU peak = torch.cuda.max_memory_allocated (excludes the CUDA context). CPU: serialized model size plus a coarse process-RSS delta.</t>
        </is>
      </c>
    </row>
    <row r="10">
      <c r="A10" s="6" t="inlineStr">
        <is>
          <t>Techniques: dynamic INT8 quantization of Linear layers (CPU only); FP16 on GPU; knowledge distillation with a labels-only control; linear-attention variant; late vs early fusion (early fusion also trained for 2x epochs to separate 'worse' from 'slower to train').</t>
        </is>
      </c>
    </row>
    <row r="11">
      <c r="A11" s="6" t="inlineStr">
        <is>
          <t>Hardware: runs are tagged by machine. 'cpu' = the Intel VM (CPU only); 't4gpu' = Colab T4. GPU-labelled configs run on the primary device, so on the VM they run on the CPU.</t>
        </is>
      </c>
    </row>
    <row r="12">
      <c r="A12" s="6" t="inlineStr"/>
    </row>
    <row r="13">
      <c r="A13" s="6" t="inlineStr">
        <is>
          <t>KNOWN LIMITS (do not over-claim):</t>
        </is>
      </c>
    </row>
    <row r="14">
      <c r="A14" s="6" t="inlineStr">
        <is>
          <t>- Synthetic data: absolute accuracy says nothing about real scanned bills of lading; only the relative ordering under controlled conditions.</t>
        </is>
      </c>
    </row>
    <row r="15">
      <c r="A15" s="6" t="inlineStr">
        <is>
          <t>- Neither machine is the in-cab tablet. CPU INT8 on a VM or on 2 Colab vCPUs is a proxy; real Android NPU/XNNPACK latencies will differ.</t>
        </is>
      </c>
    </row>
    <row r="16">
      <c r="A16" s="6" t="inlineStr">
        <is>
          <t>- A virtual machine adds scheduling jitter, which is why p95 and trial-to-trial spread are reported.</t>
        </is>
      </c>
    </row>
    <row r="17">
      <c r="A17" s="6" t="inlineStr">
        <is>
          <t>- Sequence length 24 is too short for linear attention to pay off; the variant tests that, not long-context behaviour.</t>
        </is>
      </c>
    </row>
    <row r="18">
      <c r="A18" s="6" t="inlineStr">
        <is>
          <t>- Dynamic INT8 leaves convolutions in FP32; full static INT8 or QAT could behave differently.</t>
        </is>
      </c>
    </row>
    <row r="19">
      <c r="A19" s="6" t="inlineStr">
        <is>
          <t>- The free Colab GPU is shared; absolute latencies vary between sessions, so compare configs within one run, not across runs.</t>
        </is>
      </c>
    </row>
    <row r="20">
      <c r="A20" s="6" t="inlineStr">
        <is>
          <t>- 3 training seeds: accuracy gaps smaller than about one seed std are not distinguishable.</t>
        </is>
      </c>
    </row>
    <row r="21">
      <c r="A21" s="6" t="inlineStr"/>
    </row>
    <row r="22">
      <c r="A22" s="6" t="inlineStr">
        <is>
          <t>Reproduce: run the notebook on a Colab T4 (COLAB.md) and the installer script on the VM; both write results/*_&lt;tag&gt;.* and rebuild this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tag</t>
        </is>
      </c>
      <c r="B1" s="2" t="inlineStr">
        <is>
          <t>config</t>
        </is>
      </c>
      <c r="C1" s="2" t="inlineStr">
        <is>
          <t>seed</t>
        </is>
      </c>
      <c r="D1" s="2" t="inlineStr">
        <is>
          <t>accuracy</t>
        </is>
      </c>
      <c r="E1" s="2" t="inlineStr">
        <is>
          <t>n_test</t>
        </is>
      </c>
      <c r="F1" s="2" t="inlineStr">
        <is>
          <t>ci95</t>
        </is>
      </c>
    </row>
    <row r="2">
      <c r="A2" t="inlineStr">
        <is>
          <t>cpu</t>
        </is>
      </c>
      <c r="B2" t="inlineStr">
        <is>
          <t>baseline_fp32</t>
        </is>
      </c>
      <c r="C2" t="n">
        <v>0</v>
      </c>
      <c r="D2" t="n">
        <v>0.776</v>
      </c>
      <c r="E2" t="n">
        <v>2000</v>
      </c>
      <c r="F2" t="n">
        <v>0.0182724147063271</v>
      </c>
    </row>
    <row r="3">
      <c r="A3" t="inlineStr">
        <is>
          <t>cpu</t>
        </is>
      </c>
      <c r="B3" t="inlineStr">
        <is>
          <t>linear_attn</t>
        </is>
      </c>
      <c r="C3" t="n">
        <v>0</v>
      </c>
      <c r="D3" t="n">
        <v>0.78</v>
      </c>
      <c r="E3" t="n">
        <v>2000</v>
      </c>
      <c r="F3" t="n">
        <v>0.0181551447253939</v>
      </c>
    </row>
    <row r="4">
      <c r="A4" t="inlineStr">
        <is>
          <t>cpu</t>
        </is>
      </c>
      <c r="B4" t="inlineStr">
        <is>
          <t>early_fusion</t>
        </is>
      </c>
      <c r="C4" t="n">
        <v>0</v>
      </c>
      <c r="D4" t="n">
        <v>0.286</v>
      </c>
      <c r="E4" t="n">
        <v>2000</v>
      </c>
      <c r="F4" t="n">
        <v>0.0198049247208869</v>
      </c>
    </row>
    <row r="5">
      <c r="A5" t="inlineStr">
        <is>
          <t>cpu</t>
        </is>
      </c>
      <c r="B5" t="inlineStr">
        <is>
          <t>early_fusion_2x</t>
        </is>
      </c>
      <c r="C5" t="n">
        <v>0</v>
      </c>
      <c r="D5" t="n">
        <v>0.2685</v>
      </c>
      <c r="E5" t="n">
        <v>2000</v>
      </c>
      <c r="F5" t="n">
        <v>0.0194231821852136</v>
      </c>
    </row>
    <row r="6">
      <c r="A6" t="inlineStr">
        <is>
          <t>cpu</t>
        </is>
      </c>
      <c r="B6" t="inlineStr">
        <is>
          <t>student_kd</t>
        </is>
      </c>
      <c r="C6" t="n">
        <v>0</v>
      </c>
      <c r="D6" t="n">
        <v>0.7504999999999999</v>
      </c>
      <c r="E6" t="n">
        <v>2000</v>
      </c>
      <c r="F6" t="n">
        <v>0.0189649497705635</v>
      </c>
    </row>
    <row r="7">
      <c r="A7" t="inlineStr">
        <is>
          <t>cpu</t>
        </is>
      </c>
      <c r="B7" t="inlineStr">
        <is>
          <t>student_nokd</t>
        </is>
      </c>
      <c r="C7" t="n">
        <v>0</v>
      </c>
      <c r="D7" t="n">
        <v>0.733</v>
      </c>
      <c r="E7" t="n">
        <v>2000</v>
      </c>
      <c r="F7" t="n">
        <v>0.0193887000286249</v>
      </c>
    </row>
    <row r="8">
      <c r="A8" t="inlineStr">
        <is>
          <t>cpu</t>
        </is>
      </c>
      <c r="B8" t="inlineStr">
        <is>
          <t>cpu_baseline_int8</t>
        </is>
      </c>
      <c r="C8" t="n">
        <v>0</v>
      </c>
      <c r="D8" t="n">
        <v>0.7765</v>
      </c>
      <c r="E8" t="n">
        <v>2000</v>
      </c>
      <c r="F8" t="n">
        <v>0.018257889204396</v>
      </c>
    </row>
    <row r="9">
      <c r="A9" t="inlineStr">
        <is>
          <t>cpu</t>
        </is>
      </c>
      <c r="B9" t="inlineStr">
        <is>
          <t>baseline_fp32</t>
        </is>
      </c>
      <c r="C9" t="n">
        <v>1</v>
      </c>
      <c r="D9" t="n">
        <v>0.7915</v>
      </c>
      <c r="E9" t="n">
        <v>2000</v>
      </c>
      <c r="F9" t="n">
        <v>0.0178040810546346</v>
      </c>
    </row>
    <row r="10">
      <c r="A10" t="inlineStr">
        <is>
          <t>cpu</t>
        </is>
      </c>
      <c r="B10" t="inlineStr">
        <is>
          <t>linear_attn</t>
        </is>
      </c>
      <c r="C10" t="n">
        <v>1</v>
      </c>
      <c r="D10" t="n">
        <v>0.791</v>
      </c>
      <c r="E10" t="n">
        <v>2000</v>
      </c>
      <c r="F10" t="n">
        <v>0.0178197849369738</v>
      </c>
    </row>
    <row r="11">
      <c r="A11" t="inlineStr">
        <is>
          <t>cpu</t>
        </is>
      </c>
      <c r="B11" t="inlineStr">
        <is>
          <t>early_fusion</t>
        </is>
      </c>
      <c r="C11" t="n">
        <v>1</v>
      </c>
      <c r="D11" t="n">
        <v>0.292</v>
      </c>
      <c r="E11" t="n">
        <v>2000</v>
      </c>
      <c r="F11" t="n">
        <v>0.0199273306993184</v>
      </c>
    </row>
    <row r="12">
      <c r="A12" t="inlineStr">
        <is>
          <t>cpu</t>
        </is>
      </c>
      <c r="B12" t="inlineStr">
        <is>
          <t>early_fusion_2x</t>
        </is>
      </c>
      <c r="C12" t="n">
        <v>1</v>
      </c>
      <c r="D12" t="n">
        <v>0.28</v>
      </c>
      <c r="E12" t="n">
        <v>2000</v>
      </c>
      <c r="F12" t="n">
        <v>0.0196782438240814</v>
      </c>
    </row>
    <row r="13">
      <c r="A13" t="inlineStr">
        <is>
          <t>cpu</t>
        </is>
      </c>
      <c r="B13" t="inlineStr">
        <is>
          <t>student_kd</t>
        </is>
      </c>
      <c r="C13" t="n">
        <v>1</v>
      </c>
      <c r="D13" t="n">
        <v>0.768</v>
      </c>
      <c r="E13" t="n">
        <v>2000</v>
      </c>
      <c r="F13" t="n">
        <v>0.0184997421819872</v>
      </c>
    </row>
    <row r="14">
      <c r="A14" t="inlineStr">
        <is>
          <t>cpu</t>
        </is>
      </c>
      <c r="B14" t="inlineStr">
        <is>
          <t>student_nokd</t>
        </is>
      </c>
      <c r="C14" t="n">
        <v>1</v>
      </c>
      <c r="D14" t="n">
        <v>0.7445000000000001</v>
      </c>
      <c r="E14" t="n">
        <v>2000</v>
      </c>
      <c r="F14" t="n">
        <v>0.0191147612017519</v>
      </c>
    </row>
    <row r="15">
      <c r="A15" t="inlineStr">
        <is>
          <t>cpu</t>
        </is>
      </c>
      <c r="B15" t="inlineStr">
        <is>
          <t>cpu_baseline_int8</t>
        </is>
      </c>
      <c r="C15" t="n">
        <v>1</v>
      </c>
      <c r="D15" t="n">
        <v>0.792</v>
      </c>
      <c r="E15" t="n">
        <v>2000</v>
      </c>
      <c r="F15" t="n">
        <v>0.0177883363134386</v>
      </c>
    </row>
    <row r="16">
      <c r="A16" t="inlineStr">
        <is>
          <t>cpu</t>
        </is>
      </c>
      <c r="B16" t="inlineStr">
        <is>
          <t>baseline_fp32</t>
        </is>
      </c>
      <c r="C16" t="n">
        <v>2</v>
      </c>
      <c r="D16" t="n">
        <v>0.801</v>
      </c>
      <c r="E16" t="n">
        <v>2000</v>
      </c>
      <c r="F16" t="n">
        <v>0.0174978169838411</v>
      </c>
    </row>
    <row r="17">
      <c r="A17" t="inlineStr">
        <is>
          <t>cpu</t>
        </is>
      </c>
      <c r="B17" t="inlineStr">
        <is>
          <t>linear_attn</t>
        </is>
      </c>
      <c r="C17" t="n">
        <v>2</v>
      </c>
      <c r="D17" t="n">
        <v>0.805</v>
      </c>
      <c r="E17" t="n">
        <v>2000</v>
      </c>
      <c r="F17" t="n">
        <v>0.0173642615737036</v>
      </c>
    </row>
    <row r="18">
      <c r="A18" t="inlineStr">
        <is>
          <t>cpu</t>
        </is>
      </c>
      <c r="B18" t="inlineStr">
        <is>
          <t>early_fusion</t>
        </is>
      </c>
      <c r="C18" t="n">
        <v>2</v>
      </c>
      <c r="D18" t="n">
        <v>0.303</v>
      </c>
      <c r="E18" t="n">
        <v>2000</v>
      </c>
      <c r="F18" t="n">
        <v>0.0201408955312319</v>
      </c>
    </row>
    <row r="19">
      <c r="A19" t="inlineStr">
        <is>
          <t>cpu</t>
        </is>
      </c>
      <c r="B19" t="inlineStr">
        <is>
          <t>early_fusion_2x</t>
        </is>
      </c>
      <c r="C19" t="n">
        <v>2</v>
      </c>
      <c r="D19" t="n">
        <v>0.296</v>
      </c>
      <c r="E19" t="n">
        <v>2000</v>
      </c>
      <c r="F19" t="n">
        <v>0.0200065985914647</v>
      </c>
    </row>
    <row r="20">
      <c r="A20" t="inlineStr">
        <is>
          <t>cpu</t>
        </is>
      </c>
      <c r="B20" t="inlineStr">
        <is>
          <t>student_kd</t>
        </is>
      </c>
      <c r="C20" t="n">
        <v>2</v>
      </c>
      <c r="D20" t="n">
        <v>0.755</v>
      </c>
      <c r="E20" t="n">
        <v>2000</v>
      </c>
      <c r="F20" t="n">
        <v>0.0188494026430547</v>
      </c>
    </row>
    <row r="21">
      <c r="A21" t="inlineStr">
        <is>
          <t>cpu</t>
        </is>
      </c>
      <c r="B21" t="inlineStr">
        <is>
          <t>student_nokd</t>
        </is>
      </c>
      <c r="C21" t="n">
        <v>2</v>
      </c>
      <c r="D21" t="n">
        <v>0.7355</v>
      </c>
      <c r="E21" t="n">
        <v>2000</v>
      </c>
      <c r="F21" t="n">
        <v>0.0193305962608503</v>
      </c>
    </row>
    <row r="22">
      <c r="A22" t="inlineStr">
        <is>
          <t>cpu</t>
        </is>
      </c>
      <c r="B22" t="inlineStr">
        <is>
          <t>cpu_baseline_int8</t>
        </is>
      </c>
      <c r="C22" t="n">
        <v>2</v>
      </c>
      <c r="D22" t="n">
        <v>0.8025</v>
      </c>
      <c r="E22" t="n">
        <v>2000</v>
      </c>
      <c r="F22" t="n">
        <v>0.0174480599208049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tag</t>
        </is>
      </c>
      <c r="B1" s="2" t="inlineStr">
        <is>
          <t>config</t>
        </is>
      </c>
      <c r="C1" s="2" t="inlineStr">
        <is>
          <t>device</t>
        </is>
      </c>
      <c r="D1" s="2" t="inlineStr">
        <is>
          <t>trial</t>
        </is>
      </c>
      <c r="E1" s="2" t="inlineStr">
        <is>
          <t>p50_ms</t>
        </is>
      </c>
      <c r="F1" s="2" t="inlineStr">
        <is>
          <t>p95_ms</t>
        </is>
      </c>
      <c r="G1" s="2" t="inlineStr">
        <is>
          <t>mean_ms</t>
        </is>
      </c>
      <c r="H1" s="2" t="inlineStr">
        <is>
          <t>std_ms</t>
        </is>
      </c>
      <c r="I1" s="2" t="inlineStr">
        <is>
          <t>n_iter</t>
        </is>
      </c>
    </row>
    <row r="2">
      <c r="A2" t="inlineStr">
        <is>
          <t>cpu</t>
        </is>
      </c>
      <c r="B2" t="inlineStr">
        <is>
          <t>student_kd</t>
        </is>
      </c>
      <c r="C2" t="inlineStr">
        <is>
          <t>cpu</t>
        </is>
      </c>
      <c r="D2" t="n">
        <v>0</v>
      </c>
      <c r="E2" t="n">
        <v>0.4007000006822636</v>
      </c>
      <c r="F2" t="n">
        <v>0.6241149980269257</v>
      </c>
      <c r="G2" t="n">
        <v>0.442415666608819</v>
      </c>
      <c r="H2" t="n">
        <v>0.1466032535129308</v>
      </c>
      <c r="I2" t="n">
        <v>300</v>
      </c>
    </row>
    <row r="3">
      <c r="A3" t="inlineStr">
        <is>
          <t>cpu</t>
        </is>
      </c>
      <c r="B3" t="inlineStr">
        <is>
          <t>early_fusion</t>
        </is>
      </c>
      <c r="C3" t="inlineStr">
        <is>
          <t>cpu</t>
        </is>
      </c>
      <c r="D3" t="n">
        <v>0</v>
      </c>
      <c r="E3" t="n">
        <v>0.5656499997712672</v>
      </c>
      <c r="F3" t="n">
        <v>0.7897900024545379</v>
      </c>
      <c r="G3" t="n">
        <v>0.6015913333249046</v>
      </c>
      <c r="H3" t="n">
        <v>0.1247870113653778</v>
      </c>
      <c r="I3" t="n">
        <v>300</v>
      </c>
    </row>
    <row r="4">
      <c r="A4" t="inlineStr">
        <is>
          <t>cpu</t>
        </is>
      </c>
      <c r="B4" t="inlineStr">
        <is>
          <t>linear_attn</t>
        </is>
      </c>
      <c r="C4" t="inlineStr">
        <is>
          <t>cpu</t>
        </is>
      </c>
      <c r="D4" t="n">
        <v>0</v>
      </c>
      <c r="E4" t="n">
        <v>0.8355499994650017</v>
      </c>
      <c r="F4" t="n">
        <v>1.144079998630332</v>
      </c>
      <c r="G4" t="n">
        <v>0.8891493332218184</v>
      </c>
      <c r="H4" t="n">
        <v>0.198649270672288</v>
      </c>
      <c r="I4" t="n">
        <v>300</v>
      </c>
    </row>
    <row r="5">
      <c r="A5" t="inlineStr">
        <is>
          <t>cpu</t>
        </is>
      </c>
      <c r="B5" t="inlineStr">
        <is>
          <t>baseline_fp32</t>
        </is>
      </c>
      <c r="C5" t="inlineStr">
        <is>
          <t>cpu</t>
        </is>
      </c>
      <c r="D5" t="n">
        <v>0</v>
      </c>
      <c r="E5" t="n">
        <v>0.628700001470861</v>
      </c>
      <c r="F5" t="n">
        <v>0.9152749997156208</v>
      </c>
      <c r="G5" t="n">
        <v>0.6709893332905873</v>
      </c>
      <c r="H5" t="n">
        <v>0.1324043329398911</v>
      </c>
      <c r="I5" t="n">
        <v>300</v>
      </c>
    </row>
    <row r="6">
      <c r="A6" t="inlineStr">
        <is>
          <t>cpu</t>
        </is>
      </c>
      <c r="B6" t="inlineStr">
        <is>
          <t>student_nokd</t>
        </is>
      </c>
      <c r="C6" t="inlineStr">
        <is>
          <t>cpu</t>
        </is>
      </c>
      <c r="D6" t="n">
        <v>0</v>
      </c>
      <c r="E6" t="n">
        <v>0.3944000000046799</v>
      </c>
      <c r="F6" t="n">
        <v>0.6716449983287021</v>
      </c>
      <c r="G6" t="n">
        <v>0.438519000041803</v>
      </c>
      <c r="H6" t="n">
        <v>0.1417626398492653</v>
      </c>
      <c r="I6" t="n">
        <v>300</v>
      </c>
    </row>
    <row r="7">
      <c r="A7" t="inlineStr">
        <is>
          <t>cpu</t>
        </is>
      </c>
      <c r="B7" t="inlineStr">
        <is>
          <t>early_fusion_2x</t>
        </is>
      </c>
      <c r="C7" t="inlineStr">
        <is>
          <t>cpu</t>
        </is>
      </c>
      <c r="D7" t="n">
        <v>0</v>
      </c>
      <c r="E7" t="n">
        <v>0.6082500003685709</v>
      </c>
      <c r="F7" t="n">
        <v>0.8874999977706466</v>
      </c>
      <c r="G7" t="n">
        <v>0.6597476667714849</v>
      </c>
      <c r="H7" t="n">
        <v>0.1522061389518207</v>
      </c>
      <c r="I7" t="n">
        <v>300</v>
      </c>
    </row>
    <row r="8">
      <c r="A8" t="inlineStr">
        <is>
          <t>cpu</t>
        </is>
      </c>
      <c r="B8" t="inlineStr">
        <is>
          <t>cpu_baseline_int8</t>
        </is>
      </c>
      <c r="C8" t="inlineStr">
        <is>
          <t>cpu</t>
        </is>
      </c>
      <c r="D8" t="n">
        <v>0</v>
      </c>
      <c r="E8" t="n">
        <v>1.052749999871594</v>
      </c>
      <c r="F8" t="n">
        <v>1.513149999300367</v>
      </c>
      <c r="G8" t="n">
        <v>1.124364666526769</v>
      </c>
      <c r="H8" t="n">
        <v>0.1881770074516917</v>
      </c>
      <c r="I8" t="n">
        <v>300</v>
      </c>
    </row>
    <row r="9">
      <c r="A9" t="inlineStr">
        <is>
          <t>cpu</t>
        </is>
      </c>
      <c r="B9" t="inlineStr">
        <is>
          <t>linear_attn</t>
        </is>
      </c>
      <c r="C9" t="inlineStr">
        <is>
          <t>cpu</t>
        </is>
      </c>
      <c r="D9" t="n">
        <v>1</v>
      </c>
      <c r="E9" t="n">
        <v>0.8452000001852866</v>
      </c>
      <c r="F9" t="n">
        <v>1.327500001207227</v>
      </c>
      <c r="G9" t="n">
        <v>0.9168009999363372</v>
      </c>
      <c r="H9" t="n">
        <v>0.1986547349926734</v>
      </c>
      <c r="I9" t="n">
        <v>300</v>
      </c>
    </row>
    <row r="10">
      <c r="A10" t="inlineStr">
        <is>
          <t>cpu</t>
        </is>
      </c>
      <c r="B10" t="inlineStr">
        <is>
          <t>baseline_fp32</t>
        </is>
      </c>
      <c r="C10" t="inlineStr">
        <is>
          <t>cpu</t>
        </is>
      </c>
      <c r="D10" t="n">
        <v>1</v>
      </c>
      <c r="E10" t="n">
        <v>0.624549998974544</v>
      </c>
      <c r="F10" t="n">
        <v>0.9717600019939709</v>
      </c>
      <c r="G10" t="n">
        <v>0.6852900000861458</v>
      </c>
      <c r="H10" t="n">
        <v>0.1658647481914018</v>
      </c>
      <c r="I10" t="n">
        <v>300</v>
      </c>
    </row>
    <row r="11">
      <c r="A11" t="inlineStr">
        <is>
          <t>cpu</t>
        </is>
      </c>
      <c r="B11" t="inlineStr">
        <is>
          <t>student_kd</t>
        </is>
      </c>
      <c r="C11" t="inlineStr">
        <is>
          <t>cpu</t>
        </is>
      </c>
      <c r="D11" t="n">
        <v>1</v>
      </c>
      <c r="E11" t="n">
        <v>0.3919999999197898</v>
      </c>
      <c r="F11" t="n">
        <v>0.6428649992813008</v>
      </c>
      <c r="G11" t="n">
        <v>0.4269150000133474</v>
      </c>
      <c r="H11" t="n">
        <v>0.1179272361831791</v>
      </c>
      <c r="I11" t="n">
        <v>300</v>
      </c>
    </row>
    <row r="12">
      <c r="A12" t="inlineStr">
        <is>
          <t>cpu</t>
        </is>
      </c>
      <c r="B12" t="inlineStr">
        <is>
          <t>student_nokd</t>
        </is>
      </c>
      <c r="C12" t="inlineStr">
        <is>
          <t>cpu</t>
        </is>
      </c>
      <c r="D12" t="n">
        <v>1</v>
      </c>
      <c r="E12" t="n">
        <v>0.3819999983534217</v>
      </c>
      <c r="F12" t="n">
        <v>0.593204999313457</v>
      </c>
      <c r="G12" t="n">
        <v>0.4113663333434185</v>
      </c>
      <c r="H12" t="n">
        <v>0.0983711394152459</v>
      </c>
      <c r="I12" t="n">
        <v>300</v>
      </c>
    </row>
    <row r="13">
      <c r="A13" t="inlineStr">
        <is>
          <t>cpu</t>
        </is>
      </c>
      <c r="B13" t="inlineStr">
        <is>
          <t>cpu_baseline_int8</t>
        </is>
      </c>
      <c r="C13" t="inlineStr">
        <is>
          <t>cpu</t>
        </is>
      </c>
      <c r="D13" t="n">
        <v>1</v>
      </c>
      <c r="E13" t="n">
        <v>1.050849999955972</v>
      </c>
      <c r="F13" t="n">
        <v>1.579079999828537</v>
      </c>
      <c r="G13" t="n">
        <v>1.137501666683723</v>
      </c>
      <c r="H13" t="n">
        <v>0.2301819799818312</v>
      </c>
      <c r="I13" t="n">
        <v>300</v>
      </c>
    </row>
    <row r="14">
      <c r="A14" t="inlineStr">
        <is>
          <t>cpu</t>
        </is>
      </c>
      <c r="B14" t="inlineStr">
        <is>
          <t>early_fusion</t>
        </is>
      </c>
      <c r="C14" t="inlineStr">
        <is>
          <t>cpu</t>
        </is>
      </c>
      <c r="D14" t="n">
        <v>1</v>
      </c>
      <c r="E14" t="n">
        <v>0.5559499986702576</v>
      </c>
      <c r="F14" t="n">
        <v>0.8239600007073024</v>
      </c>
      <c r="G14" t="n">
        <v>0.595993000024464</v>
      </c>
      <c r="H14" t="n">
        <v>0.1259615147574253</v>
      </c>
      <c r="I14" t="n">
        <v>300</v>
      </c>
    </row>
    <row r="15">
      <c r="A15" t="inlineStr">
        <is>
          <t>cpu</t>
        </is>
      </c>
      <c r="B15" t="inlineStr">
        <is>
          <t>early_fusion_2x</t>
        </is>
      </c>
      <c r="C15" t="inlineStr">
        <is>
          <t>cpu</t>
        </is>
      </c>
      <c r="D15" t="n">
        <v>1</v>
      </c>
      <c r="E15" t="n">
        <v>0.5658999998559011</v>
      </c>
      <c r="F15" t="n">
        <v>0.8264400010375539</v>
      </c>
      <c r="G15" t="n">
        <v>0.6070956667341912</v>
      </c>
      <c r="H15" t="n">
        <v>0.1391013270039292</v>
      </c>
      <c r="I15" t="n">
        <v>300</v>
      </c>
    </row>
    <row r="16">
      <c r="A16" t="inlineStr">
        <is>
          <t>cpu</t>
        </is>
      </c>
      <c r="B16" t="inlineStr">
        <is>
          <t>cpu_baseline_int8</t>
        </is>
      </c>
      <c r="C16" t="inlineStr">
        <is>
          <t>cpu</t>
        </is>
      </c>
      <c r="D16" t="n">
        <v>2</v>
      </c>
      <c r="E16" t="n">
        <v>1.041800000166404</v>
      </c>
      <c r="F16" t="n">
        <v>1.427860000148939</v>
      </c>
      <c r="G16" t="n">
        <v>1.104327666641136</v>
      </c>
      <c r="H16" t="n">
        <v>0.1716793899027229</v>
      </c>
      <c r="I16" t="n">
        <v>300</v>
      </c>
    </row>
    <row r="17">
      <c r="A17" t="inlineStr">
        <is>
          <t>cpu</t>
        </is>
      </c>
      <c r="B17" t="inlineStr">
        <is>
          <t>early_fusion_2x</t>
        </is>
      </c>
      <c r="C17" t="inlineStr">
        <is>
          <t>cpu</t>
        </is>
      </c>
      <c r="D17" t="n">
        <v>2</v>
      </c>
      <c r="E17" t="n">
        <v>0.5915000001550652</v>
      </c>
      <c r="F17" t="n">
        <v>0.91229999816278</v>
      </c>
      <c r="G17" t="n">
        <v>0.646850333432667</v>
      </c>
      <c r="H17" t="n">
        <v>0.1588000425507692</v>
      </c>
      <c r="I17" t="n">
        <v>300</v>
      </c>
    </row>
    <row r="18">
      <c r="A18" t="inlineStr">
        <is>
          <t>cpu</t>
        </is>
      </c>
      <c r="B18" t="inlineStr">
        <is>
          <t>baseline_fp32</t>
        </is>
      </c>
      <c r="C18" t="inlineStr">
        <is>
          <t>cpu</t>
        </is>
      </c>
      <c r="D18" t="n">
        <v>2</v>
      </c>
      <c r="E18" t="n">
        <v>0.6216000001586508</v>
      </c>
      <c r="F18" t="n">
        <v>0.9134750023804374</v>
      </c>
      <c r="G18" t="n">
        <v>0.6619320000875936</v>
      </c>
      <c r="H18" t="n">
        <v>0.1236109554836426</v>
      </c>
      <c r="I18" t="n">
        <v>300</v>
      </c>
    </row>
    <row r="19">
      <c r="A19" t="inlineStr">
        <is>
          <t>cpu</t>
        </is>
      </c>
      <c r="B19" t="inlineStr">
        <is>
          <t>student_nokd</t>
        </is>
      </c>
      <c r="C19" t="inlineStr">
        <is>
          <t>cpu</t>
        </is>
      </c>
      <c r="D19" t="n">
        <v>2</v>
      </c>
      <c r="E19" t="n">
        <v>0.3884500001731794</v>
      </c>
      <c r="F19" t="n">
        <v>0.6139749997601029</v>
      </c>
      <c r="G19" t="n">
        <v>0.4196586665057111</v>
      </c>
      <c r="H19" t="n">
        <v>0.1039595587089108</v>
      </c>
      <c r="I19" t="n">
        <v>300</v>
      </c>
    </row>
    <row r="20">
      <c r="A20" t="inlineStr">
        <is>
          <t>cpu</t>
        </is>
      </c>
      <c r="B20" t="inlineStr">
        <is>
          <t>early_fusion</t>
        </is>
      </c>
      <c r="C20" t="inlineStr">
        <is>
          <t>cpu</t>
        </is>
      </c>
      <c r="D20" t="n">
        <v>2</v>
      </c>
      <c r="E20" t="n">
        <v>0.5586500010394957</v>
      </c>
      <c r="F20" t="n">
        <v>0.8317650010212676</v>
      </c>
      <c r="G20" t="n">
        <v>0.6090313331272531</v>
      </c>
      <c r="H20" t="n">
        <v>0.1608230949807019</v>
      </c>
      <c r="I20" t="n">
        <v>300</v>
      </c>
    </row>
    <row r="21">
      <c r="A21" t="inlineStr">
        <is>
          <t>cpu</t>
        </is>
      </c>
      <c r="B21" t="inlineStr">
        <is>
          <t>linear_attn</t>
        </is>
      </c>
      <c r="C21" t="inlineStr">
        <is>
          <t>cpu</t>
        </is>
      </c>
      <c r="D21" t="n">
        <v>2</v>
      </c>
      <c r="E21" t="n">
        <v>0.8338999996340135</v>
      </c>
      <c r="F21" t="n">
        <v>1.15384500259097</v>
      </c>
      <c r="G21" t="n">
        <v>0.8969089999057663</v>
      </c>
      <c r="H21" t="n">
        <v>0.2122135262012756</v>
      </c>
      <c r="I21" t="n">
        <v>300</v>
      </c>
    </row>
    <row r="22">
      <c r="A22" t="inlineStr">
        <is>
          <t>cpu</t>
        </is>
      </c>
      <c r="B22" t="inlineStr">
        <is>
          <t>student_kd</t>
        </is>
      </c>
      <c r="C22" t="inlineStr">
        <is>
          <t>cpu</t>
        </is>
      </c>
      <c r="D22" t="n">
        <v>2</v>
      </c>
      <c r="E22" t="n">
        <v>0.3816000025835819</v>
      </c>
      <c r="F22" t="n">
        <v>0.5564399989452797</v>
      </c>
      <c r="G22" t="n">
        <v>0.407272000084049</v>
      </c>
      <c r="H22" t="n">
        <v>0.1114826449655077</v>
      </c>
      <c r="I22" t="n">
        <v>300</v>
      </c>
    </row>
    <row r="23">
      <c r="A23" t="inlineStr">
        <is>
          <t>cpu</t>
        </is>
      </c>
      <c r="B23" t="inlineStr">
        <is>
          <t>early_fusion</t>
        </is>
      </c>
      <c r="C23" t="inlineStr">
        <is>
          <t>cpu</t>
        </is>
      </c>
      <c r="D23" t="n">
        <v>3</v>
      </c>
      <c r="E23" t="n">
        <v>0.5523999989236472</v>
      </c>
      <c r="F23" t="n">
        <v>0.7394600012048614</v>
      </c>
      <c r="G23" t="n">
        <v>0.5801126666362203</v>
      </c>
      <c r="H23" t="n">
        <v>0.0992707219537614</v>
      </c>
      <c r="I23" t="n">
        <v>300</v>
      </c>
    </row>
    <row r="24">
      <c r="A24" t="inlineStr">
        <is>
          <t>cpu</t>
        </is>
      </c>
      <c r="B24" t="inlineStr">
        <is>
          <t>baseline_fp32</t>
        </is>
      </c>
      <c r="C24" t="inlineStr">
        <is>
          <t>cpu</t>
        </is>
      </c>
      <c r="D24" t="n">
        <v>3</v>
      </c>
      <c r="E24" t="n">
        <v>0.611449999269098</v>
      </c>
      <c r="F24" t="n">
        <v>0.8401200011576294</v>
      </c>
      <c r="G24" t="n">
        <v>0.6499073333664759</v>
      </c>
      <c r="H24" t="n">
        <v>0.1344259723518</v>
      </c>
      <c r="I24" t="n">
        <v>300</v>
      </c>
    </row>
    <row r="25">
      <c r="A25" t="inlineStr">
        <is>
          <t>cpu</t>
        </is>
      </c>
      <c r="B25" t="inlineStr">
        <is>
          <t>early_fusion_2x</t>
        </is>
      </c>
      <c r="C25" t="inlineStr">
        <is>
          <t>cpu</t>
        </is>
      </c>
      <c r="D25" t="n">
        <v>3</v>
      </c>
      <c r="E25" t="n">
        <v>0.5686999993486097</v>
      </c>
      <c r="F25" t="n">
        <v>0.9210499985783828</v>
      </c>
      <c r="G25" t="n">
        <v>0.6294090000301367</v>
      </c>
      <c r="H25" t="n">
        <v>0.181210034166063</v>
      </c>
      <c r="I25" t="n">
        <v>300</v>
      </c>
    </row>
    <row r="26">
      <c r="A26" t="inlineStr">
        <is>
          <t>cpu</t>
        </is>
      </c>
      <c r="B26" t="inlineStr">
        <is>
          <t>linear_attn</t>
        </is>
      </c>
      <c r="C26" t="inlineStr">
        <is>
          <t>cpu</t>
        </is>
      </c>
      <c r="D26" t="n">
        <v>3</v>
      </c>
      <c r="E26" t="n">
        <v>0.8449500001006527</v>
      </c>
      <c r="F26" t="n">
        <v>1.289360003283946</v>
      </c>
      <c r="G26" t="n">
        <v>0.9168793333083158</v>
      </c>
      <c r="H26" t="n">
        <v>0.2023488997228212</v>
      </c>
      <c r="I26" t="n">
        <v>300</v>
      </c>
    </row>
    <row r="27">
      <c r="A27" t="inlineStr">
        <is>
          <t>cpu</t>
        </is>
      </c>
      <c r="B27" t="inlineStr">
        <is>
          <t>cpu_baseline_int8</t>
        </is>
      </c>
      <c r="C27" t="inlineStr">
        <is>
          <t>cpu</t>
        </is>
      </c>
      <c r="D27" t="n">
        <v>3</v>
      </c>
      <c r="E27" t="n">
        <v>1.033699998515658</v>
      </c>
      <c r="F27" t="n">
        <v>1.560755003083614</v>
      </c>
      <c r="G27" t="n">
        <v>1.124302333397888</v>
      </c>
      <c r="H27" t="n">
        <v>0.2353319774346555</v>
      </c>
      <c r="I27" t="n">
        <v>300</v>
      </c>
    </row>
    <row r="28">
      <c r="A28" t="inlineStr">
        <is>
          <t>cpu</t>
        </is>
      </c>
      <c r="B28" t="inlineStr">
        <is>
          <t>student_nokd</t>
        </is>
      </c>
      <c r="C28" t="inlineStr">
        <is>
          <t>cpu</t>
        </is>
      </c>
      <c r="D28" t="n">
        <v>3</v>
      </c>
      <c r="E28" t="n">
        <v>0.3930500006390502</v>
      </c>
      <c r="F28" t="n">
        <v>0.5956899973170949</v>
      </c>
      <c r="G28" t="n">
        <v>0.4172243333960068</v>
      </c>
      <c r="H28" t="n">
        <v>0.0791719619894599</v>
      </c>
      <c r="I28" t="n">
        <v>300</v>
      </c>
    </row>
    <row r="29">
      <c r="A29" t="inlineStr">
        <is>
          <t>cpu</t>
        </is>
      </c>
      <c r="B29" t="inlineStr">
        <is>
          <t>student_kd</t>
        </is>
      </c>
      <c r="C29" t="inlineStr">
        <is>
          <t>cpu</t>
        </is>
      </c>
      <c r="D29" t="n">
        <v>3</v>
      </c>
      <c r="E29" t="n">
        <v>0.3750499981833854</v>
      </c>
      <c r="F29" t="n">
        <v>0.5595149996224791</v>
      </c>
      <c r="G29" t="n">
        <v>0.4062699999000567</v>
      </c>
      <c r="H29" t="n">
        <v>0.1105558920088901</v>
      </c>
      <c r="I29" t="n">
        <v>300</v>
      </c>
    </row>
    <row r="30">
      <c r="A30" t="inlineStr">
        <is>
          <t>cpu</t>
        </is>
      </c>
      <c r="B30" t="inlineStr">
        <is>
          <t>linear_attn</t>
        </is>
      </c>
      <c r="C30" t="inlineStr">
        <is>
          <t>cpu</t>
        </is>
      </c>
      <c r="D30" t="n">
        <v>4</v>
      </c>
      <c r="E30" t="n">
        <v>0.8683499981998466</v>
      </c>
      <c r="F30" t="n">
        <v>1.307790001555986</v>
      </c>
      <c r="G30" t="n">
        <v>0.9378286667197244</v>
      </c>
      <c r="H30" t="n">
        <v>0.2773096305878955</v>
      </c>
      <c r="I30" t="n">
        <v>300</v>
      </c>
    </row>
    <row r="31">
      <c r="A31" t="inlineStr">
        <is>
          <t>cpu</t>
        </is>
      </c>
      <c r="B31" t="inlineStr">
        <is>
          <t>cpu_baseline_int8</t>
        </is>
      </c>
      <c r="C31" t="inlineStr">
        <is>
          <t>cpu</t>
        </is>
      </c>
      <c r="D31" t="n">
        <v>4</v>
      </c>
      <c r="E31" t="n">
        <v>1.049349999448168</v>
      </c>
      <c r="F31" t="n">
        <v>1.684100000056788</v>
      </c>
      <c r="G31" t="n">
        <v>1.155604000099023</v>
      </c>
      <c r="H31" t="n">
        <v>0.27388895689817</v>
      </c>
      <c r="I31" t="n">
        <v>300</v>
      </c>
    </row>
    <row r="32">
      <c r="A32" t="inlineStr">
        <is>
          <t>cpu</t>
        </is>
      </c>
      <c r="B32" t="inlineStr">
        <is>
          <t>student_kd</t>
        </is>
      </c>
      <c r="C32" t="inlineStr">
        <is>
          <t>cpu</t>
        </is>
      </c>
      <c r="D32" t="n">
        <v>4</v>
      </c>
      <c r="E32" t="n">
        <v>0.4066000001330394</v>
      </c>
      <c r="F32" t="n">
        <v>0.6152150015623192</v>
      </c>
      <c r="G32" t="n">
        <v>0.4329206665958433</v>
      </c>
      <c r="H32" t="n">
        <v>0.09086992580585609</v>
      </c>
      <c r="I32" t="n">
        <v>300</v>
      </c>
    </row>
    <row r="33">
      <c r="A33" t="inlineStr">
        <is>
          <t>cpu</t>
        </is>
      </c>
      <c r="B33" t="inlineStr">
        <is>
          <t>early_fusion_2x</t>
        </is>
      </c>
      <c r="C33" t="inlineStr">
        <is>
          <t>cpu</t>
        </is>
      </c>
      <c r="D33" t="n">
        <v>4</v>
      </c>
      <c r="E33" t="n">
        <v>0.5754499998147367</v>
      </c>
      <c r="F33" t="n">
        <v>0.8522200008883374</v>
      </c>
      <c r="G33" t="n">
        <v>0.6218553332534308</v>
      </c>
      <c r="H33" t="n">
        <v>0.146078670756196</v>
      </c>
      <c r="I33" t="n">
        <v>300</v>
      </c>
    </row>
    <row r="34">
      <c r="A34" t="inlineStr">
        <is>
          <t>cpu</t>
        </is>
      </c>
      <c r="B34" t="inlineStr">
        <is>
          <t>early_fusion</t>
        </is>
      </c>
      <c r="C34" t="inlineStr">
        <is>
          <t>cpu</t>
        </is>
      </c>
      <c r="D34" t="n">
        <v>4</v>
      </c>
      <c r="E34" t="n">
        <v>0.5629000006592833</v>
      </c>
      <c r="F34" t="n">
        <v>0.8370749972527849</v>
      </c>
      <c r="G34" t="n">
        <v>0.6083493332092379</v>
      </c>
      <c r="H34" t="n">
        <v>0.1380210203218954</v>
      </c>
      <c r="I34" t="n">
        <v>300</v>
      </c>
    </row>
    <row r="35">
      <c r="A35" t="inlineStr">
        <is>
          <t>cpu</t>
        </is>
      </c>
      <c r="B35" t="inlineStr">
        <is>
          <t>baseline_fp32</t>
        </is>
      </c>
      <c r="C35" t="inlineStr">
        <is>
          <t>cpu</t>
        </is>
      </c>
      <c r="D35" t="n">
        <v>4</v>
      </c>
      <c r="E35" t="n">
        <v>0.6150999997771578</v>
      </c>
      <c r="F35" t="n">
        <v>0.8269250009107058</v>
      </c>
      <c r="G35" t="n">
        <v>0.6498393333701339</v>
      </c>
      <c r="H35" t="n">
        <v>0.1165290409154566</v>
      </c>
      <c r="I35" t="n">
        <v>300</v>
      </c>
    </row>
    <row r="36">
      <c r="A36" t="inlineStr">
        <is>
          <t>cpu</t>
        </is>
      </c>
      <c r="B36" t="inlineStr">
        <is>
          <t>student_nokd</t>
        </is>
      </c>
      <c r="C36" t="inlineStr">
        <is>
          <t>cpu</t>
        </is>
      </c>
      <c r="D36" t="n">
        <v>4</v>
      </c>
      <c r="E36" t="n">
        <v>0.3831000012723962</v>
      </c>
      <c r="F36" t="n">
        <v>0.5725200009692344</v>
      </c>
      <c r="G36" t="n">
        <v>0.4034189998734898</v>
      </c>
      <c r="H36" t="n">
        <v>0.0719990626248663</v>
      </c>
      <c r="I36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24" customWidth="1" min="3" max="3"/>
    <col width="34" customWidth="1" min="4" max="4"/>
    <col width="34" customWidth="1" min="5" max="5"/>
    <col width="34" customWidth="1" min="6" max="6"/>
    <col width="26" customWidth="1" min="7" max="7"/>
    <col width="29" customWidth="1" min="8" max="8"/>
    <col width="34" customWidth="1" min="9" max="9"/>
    <col width="24" customWidth="1" min="10" max="10"/>
    <col width="23" customWidth="1" min="11" max="11"/>
    <col width="12" customWidth="1" min="12" max="12"/>
    <col width="22" customWidth="1" min="13" max="13"/>
    <col width="17" customWidth="1" min="14" max="14"/>
    <col width="33" customWidth="1" min="15" max="15"/>
    <col width="25" customWidth="1" min="16" max="16"/>
    <col width="23" customWidth="1" min="17" max="17"/>
    <col width="28" customWidth="1" min="18" max="18"/>
    <col width="34" customWidth="1" min="19" max="19"/>
  </cols>
  <sheetData>
    <row r="1">
      <c r="A1" s="7" t="inlineStr">
        <is>
          <t>Scaling-law compute estimate (6ND and Chinchilla-style token budget)</t>
        </is>
      </c>
    </row>
    <row r="3">
      <c r="A3" t="inlineStr">
        <is>
          <t>GPU peak FP16 TFLOPs (Colab T4, vendor spec)</t>
        </is>
      </c>
      <c r="B3" s="8" t="n">
        <v>65</v>
      </c>
    </row>
    <row r="4">
      <c r="A4" t="inlineStr">
        <is>
          <t>Assumed model-FLOPs utilisation (MFU)</t>
        </is>
      </c>
      <c r="B4" s="8" t="n">
        <v>0.3</v>
      </c>
    </row>
    <row r="5">
      <c r="A5" t="inlineStr">
        <is>
          <t>Scale-up factor for params</t>
        </is>
      </c>
      <c r="B5" s="8" t="n">
        <v>10</v>
      </c>
    </row>
    <row r="6">
      <c r="A6" t="inlineStr">
        <is>
          <t>Chinchilla tokens per param (D* = k*N)</t>
        </is>
      </c>
      <c r="B6" s="8" t="n">
        <v>20</v>
      </c>
    </row>
    <row r="7">
      <c r="A7" t="inlineStr">
        <is>
          <t>Colab free-tier session cap (hours, approximate)</t>
        </is>
      </c>
      <c r="B7" s="8" t="n">
        <v>12</v>
      </c>
    </row>
    <row r="10">
      <c r="A10" s="2" t="inlineStr">
        <is>
          <t>model</t>
        </is>
      </c>
      <c r="B10" s="2" t="inlineStr">
        <is>
          <t>params N</t>
        </is>
      </c>
      <c r="C10" s="2" t="inlineStr">
        <is>
          <t>unique train samples</t>
        </is>
      </c>
      <c r="D10" s="2" t="inlineStr">
        <is>
          <t>tokens/sample (24 text + 64 patches)</t>
        </is>
      </c>
      <c r="E10" s="2" t="inlineStr">
        <is>
          <t>train samples seen (epochs x N)</t>
        </is>
      </c>
      <c r="F10" s="2" t="inlineStr">
        <is>
          <t>actual tokens D = samples seen x tokens/sample</t>
        </is>
      </c>
      <c r="G10" s="2" t="inlineStr">
        <is>
          <t>actual train FLOPs 6ND</t>
        </is>
      </c>
      <c r="H10" s="2" t="inlineStr">
        <is>
          <t>measured fwd FLOPs/sample</t>
        </is>
      </c>
      <c r="I10" s="2" t="inlineStr">
        <is>
          <t>cross-check: 3 x fwd x samples seen</t>
        </is>
      </c>
      <c r="J10" s="2" t="inlineStr">
        <is>
          <t>6ND / measured ratio</t>
        </is>
      </c>
      <c r="K10" s="2" t="inlineStr">
        <is>
          <t>Chinchilla D* = k*N</t>
        </is>
      </c>
      <c r="L10" s="2" t="inlineStr">
        <is>
          <t>D / D*</t>
        </is>
      </c>
      <c r="M10" s="2" t="inlineStr">
        <is>
          <t>unique tokens / D*</t>
        </is>
      </c>
      <c r="N10" s="2" t="inlineStr">
        <is>
          <t>10x params N'</t>
        </is>
      </c>
      <c r="O10" s="2" t="inlineStr">
        <is>
          <t>10x Chinchilla tokens D'=k*N'</t>
        </is>
      </c>
      <c r="P10" s="2" t="inlineStr">
        <is>
          <t>10x train FLOPs 6N'D'</t>
        </is>
      </c>
      <c r="Q10" s="2" t="inlineStr">
        <is>
          <t>10x GPU-hours on T4</t>
        </is>
      </c>
      <c r="R10" s="2" t="inlineStr">
        <is>
          <t>10x fits in session cap?</t>
        </is>
      </c>
      <c r="S10" s="2" t="inlineStr">
        <is>
          <t>years on one T4 (reference rows)</t>
        </is>
      </c>
    </row>
    <row r="11">
      <c r="A11" t="inlineStr">
        <is>
          <t>baseline (late fusion)</t>
        </is>
      </c>
      <c r="B11" s="9" t="n">
        <v>138022</v>
      </c>
      <c r="C11" t="n">
        <v>8000</v>
      </c>
      <c r="D11" t="n">
        <v>88</v>
      </c>
      <c r="E11" t="n">
        <v>120000</v>
      </c>
      <c r="F11" s="9">
        <f>E11*D11</f>
        <v/>
      </c>
      <c r="G11" s="9">
        <f>6*B11*F11</f>
        <v/>
      </c>
      <c r="H11" s="9" t="n">
        <v>9749248</v>
      </c>
      <c r="I11" s="9">
        <f>3*H11*E11</f>
        <v/>
      </c>
      <c r="J11">
        <f>G11/I11</f>
        <v/>
      </c>
      <c r="K11" s="9">
        <f>$B$6*B11</f>
        <v/>
      </c>
      <c r="L11">
        <f>F11/K11</f>
        <v/>
      </c>
      <c r="M11">
        <f>C11*D11/K11</f>
        <v/>
      </c>
      <c r="N11" s="9">
        <f>$B$5*B11</f>
        <v/>
      </c>
      <c r="O11" s="9">
        <f>$B$6*N11</f>
        <v/>
      </c>
      <c r="P11" s="9">
        <f>6*N11*O11</f>
        <v/>
      </c>
      <c r="Q11" s="9">
        <f>P11/($B$3*10^12*$B$4)/3600</f>
        <v/>
      </c>
      <c r="R11">
        <f>IF(Q11&lt;=$B$7,"yes","NO")</f>
        <v/>
      </c>
    </row>
    <row r="12">
      <c r="A12" t="inlineStr">
        <is>
          <t>linear-attention variant</t>
        </is>
      </c>
      <c r="B12" s="9" t="n">
        <v>138022</v>
      </c>
      <c r="C12" t="n">
        <v>8000</v>
      </c>
      <c r="D12" t="n">
        <v>88</v>
      </c>
      <c r="E12" t="n">
        <v>120000</v>
      </c>
      <c r="F12" s="9">
        <f>E12*D12</f>
        <v/>
      </c>
      <c r="G12" s="9">
        <f>6*B12*F12</f>
        <v/>
      </c>
      <c r="H12" s="9" t="n">
        <v>9952000</v>
      </c>
      <c r="I12" s="9">
        <f>3*H12*E12</f>
        <v/>
      </c>
      <c r="J12">
        <f>G12/I12</f>
        <v/>
      </c>
      <c r="K12" s="9">
        <f>$B$6*B12</f>
        <v/>
      </c>
      <c r="L12">
        <f>F12/K12</f>
        <v/>
      </c>
      <c r="M12">
        <f>C12*D12/K12</f>
        <v/>
      </c>
      <c r="N12" s="9">
        <f>$B$5*B12</f>
        <v/>
      </c>
      <c r="O12" s="9">
        <f>$B$6*N12</f>
        <v/>
      </c>
      <c r="P12" s="9">
        <f>6*N12*O12</f>
        <v/>
      </c>
      <c r="Q12" s="9">
        <f>P12/($B$3*10^12*$B$4)/3600</f>
        <v/>
      </c>
      <c r="R12">
        <f>IF(Q12&lt;=$B$7,"yes","NO")</f>
        <v/>
      </c>
    </row>
    <row r="13">
      <c r="A13" t="inlineStr">
        <is>
          <t>early fusion</t>
        </is>
      </c>
      <c r="B13" s="9" t="n">
        <v>114630</v>
      </c>
      <c r="C13" t="n">
        <v>8000</v>
      </c>
      <c r="D13" t="n">
        <v>88</v>
      </c>
      <c r="E13" t="n">
        <v>120000</v>
      </c>
      <c r="F13" s="9">
        <f>E13*D13</f>
        <v/>
      </c>
      <c r="G13" s="9">
        <f>6*B13*F13</f>
        <v/>
      </c>
      <c r="H13" s="9" t="n">
        <v>17826560</v>
      </c>
      <c r="I13" s="9">
        <f>3*H13*E13</f>
        <v/>
      </c>
      <c r="J13">
        <f>G13/I13</f>
        <v/>
      </c>
      <c r="K13" s="9">
        <f>$B$6*B13</f>
        <v/>
      </c>
      <c r="L13">
        <f>F13/K13</f>
        <v/>
      </c>
      <c r="M13">
        <f>C13*D13/K13</f>
        <v/>
      </c>
      <c r="N13" s="9">
        <f>$B$5*B13</f>
        <v/>
      </c>
      <c r="O13" s="9">
        <f>$B$6*N13</f>
        <v/>
      </c>
      <c r="P13" s="9">
        <f>6*N13*O13</f>
        <v/>
      </c>
      <c r="Q13" s="9">
        <f>P13/($B$3*10^12*$B$4)/3600</f>
        <v/>
      </c>
      <c r="R13">
        <f>IF(Q13&lt;=$B$7,"yes","NO")</f>
        <v/>
      </c>
    </row>
    <row r="14">
      <c r="A14" t="inlineStr">
        <is>
          <t>distilled student</t>
        </is>
      </c>
      <c r="B14" s="9" t="n">
        <v>9030</v>
      </c>
      <c r="C14" t="n">
        <v>8000</v>
      </c>
      <c r="D14" t="n">
        <v>88</v>
      </c>
      <c r="E14" t="n">
        <v>120000</v>
      </c>
      <c r="F14" s="9">
        <f>E14*D14</f>
        <v/>
      </c>
      <c r="G14" s="9">
        <f>6*B14*F14</f>
        <v/>
      </c>
      <c r="H14" s="9" t="n">
        <v>1180864</v>
      </c>
      <c r="I14" s="9">
        <f>3*H14*E14</f>
        <v/>
      </c>
      <c r="J14">
        <f>G14/I14</f>
        <v/>
      </c>
      <c r="K14" s="9">
        <f>$B$6*B14</f>
        <v/>
      </c>
      <c r="L14">
        <f>F14/K14</f>
        <v/>
      </c>
      <c r="M14">
        <f>C14*D14/K14</f>
        <v/>
      </c>
      <c r="N14" s="9">
        <f>$B$5*B14</f>
        <v/>
      </c>
      <c r="O14" s="9">
        <f>$B$6*N14</f>
        <v/>
      </c>
      <c r="P14" s="9">
        <f>6*N14*O14</f>
        <v/>
      </c>
      <c r="Q14" s="9">
        <f>P14/($B$3*10^12*$B$4)/3600</f>
        <v/>
      </c>
      <c r="R14">
        <f>IF(Q14&lt;=$B$7,"yes","NO")</f>
        <v/>
      </c>
    </row>
    <row r="15">
      <c r="B15" s="9" t="n"/>
      <c r="F15" s="9" t="n"/>
      <c r="G15" s="9" t="n"/>
      <c r="H15" s="9" t="n"/>
      <c r="I15" s="9" t="n"/>
      <c r="K15" s="9" t="n"/>
      <c r="N15" s="9" t="n"/>
      <c r="O15" s="9" t="n"/>
      <c r="P15" s="9" t="n"/>
      <c r="Q15" s="9" t="n"/>
    </row>
    <row r="16">
      <c r="A16" s="10" t="inlineStr">
        <is>
          <t>Reference rows: what a single free GPU cannot answer (illustrative, not measured):</t>
        </is>
      </c>
      <c r="B16" s="9" t="n"/>
      <c r="F16" s="9" t="n"/>
      <c r="G16" s="9" t="n"/>
      <c r="H16" s="9" t="n"/>
      <c r="I16" s="9" t="n"/>
      <c r="K16" s="9" t="n"/>
      <c r="N16" s="9" t="n"/>
      <c r="O16" s="9" t="n"/>
      <c r="P16" s="9" t="n"/>
      <c r="Q16" s="9" t="n"/>
    </row>
    <row r="17">
      <c r="A17" t="inlineStr">
        <is>
          <t>Reference: 0.9B-parameter audio model (MOSS-Transcribe-Diarize class)</t>
        </is>
      </c>
      <c r="B17" s="9" t="n">
        <v>900000000</v>
      </c>
      <c r="F17" s="9" t="n"/>
      <c r="G17" s="9">
        <f>6*B17*K17</f>
        <v/>
      </c>
      <c r="H17" s="9" t="n"/>
      <c r="I17" s="9" t="n"/>
      <c r="K17" s="9">
        <f>$B$6*B17</f>
        <v/>
      </c>
      <c r="N17" s="9" t="n"/>
      <c r="O17" s="9" t="n"/>
      <c r="P17" s="9" t="n"/>
      <c r="Q17" s="9">
        <f>G17/($B$3*10^12*$B$4)/3600</f>
        <v/>
      </c>
      <c r="R17">
        <f>IF(Q17&lt;=$B$7,"yes","NO")</f>
        <v/>
      </c>
      <c r="S17">
        <f>Q17/24/365</f>
        <v/>
      </c>
    </row>
    <row r="18">
      <c r="A18" t="inlineStr">
        <is>
          <t>Reference: 10x of that (9B)</t>
        </is>
      </c>
      <c r="B18" s="9" t="n">
        <v>9000000000</v>
      </c>
      <c r="F18" s="9" t="n"/>
      <c r="G18" s="9">
        <f>6*B18*K18</f>
        <v/>
      </c>
      <c r="H18" s="9" t="n"/>
      <c r="I18" s="9" t="n"/>
      <c r="K18" s="9">
        <f>$B$6*B18</f>
        <v/>
      </c>
      <c r="N18" s="9" t="n"/>
      <c r="O18" s="9" t="n"/>
      <c r="P18" s="9" t="n"/>
      <c r="Q18" s="9">
        <f>G18/($B$3*10^12*$B$4)/3600</f>
        <v/>
      </c>
      <c r="R18">
        <f>IF(Q18&lt;=$B$7,"yes","NO")</f>
        <v/>
      </c>
      <c r="S18">
        <f>Q18/24/365</f>
        <v/>
      </c>
    </row>
    <row r="19">
      <c r="B19" s="9" t="n"/>
      <c r="F19" s="9" t="n"/>
      <c r="G19" s="9" t="n"/>
      <c r="H19" s="9" t="n"/>
      <c r="I19" s="9" t="n"/>
      <c r="K19" s="9" t="n"/>
      <c r="N19" s="9" t="n"/>
      <c r="O19" s="9" t="n"/>
      <c r="P19" s="9" t="n"/>
      <c r="Q19" s="9" t="n"/>
    </row>
    <row r="21">
      <c r="A21" t="inlineStr">
        <is>
          <t>How to read this:</t>
        </is>
      </c>
    </row>
    <row r="22">
      <c r="A22" t="inlineStr">
        <is>
          <t>- 6ND: training FLOPs ~ 6 x params x tokens (2ND forward + 4ND backward). Approximate here: the CNN and a 24-token transformer are not transformer-dominated, hence the cross-check against measured FLOPs (column J).</t>
        </is>
      </c>
    </row>
    <row r="23">
      <c r="A23" t="inlineStr">
        <is>
          <t>- Chinchilla heuristic: compute-optimal tokens D* ~ 20 x N. Our actual D counts repeated epochs; 'unique tokens / D*' shows how data-limited the run is.</t>
        </is>
      </c>
    </row>
    <row r="24">
      <c r="A24" t="inlineStr">
        <is>
          <t>- The 10x rows apply the same heuristic. For these tiny models compute is trivial, so the GPU budget is NOT the binding constraint; the realism of the DATA is.</t>
        </is>
      </c>
    </row>
    <row r="25">
      <c r="A25" t="inlineStr">
        <is>
          <t>- The reference rows bound the single-GPU question: a 0.9B model at Chinchilla tokens needs on the order of two months of T4 time (about 1,400 GPU-hours, against a ~12 h session), and its 10x version about 16 years. We can fine-tune or quantize such a model, but not answer how it would scale or how a 10x version would train.</t>
        </is>
      </c>
    </row>
    <row r="26">
      <c r="A26" t="inlineStr">
        <is>
          <t>- Peak TFLOPs and MFU are assumptions (yellow cells). Change them and every dependent cell updates.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cpu</t>
        </is>
      </c>
    </row>
    <row r="2">
      <c r="A2" t="inlineStr">
        <is>
          <t>host_class</t>
        </is>
      </c>
      <c r="B2" t="inlineStr">
        <is>
          <t>intel-vm</t>
        </is>
      </c>
    </row>
    <row r="3">
      <c r="A3" t="inlineStr">
        <is>
          <t>host_label</t>
        </is>
      </c>
      <c r="B3" t="inlineStr">
        <is>
          <t>Intel VM (CPU only)</t>
        </is>
      </c>
    </row>
    <row r="4">
      <c r="A4" t="inlineStr">
        <is>
          <t>platform</t>
        </is>
      </c>
      <c r="B4" t="inlineStr">
        <is>
          <t>windows</t>
        </is>
      </c>
    </row>
    <row r="5">
      <c r="A5" t="inlineStr">
        <is>
          <t>python</t>
        </is>
      </c>
      <c r="B5" t="inlineStr">
        <is>
          <t>3.14.7</t>
        </is>
      </c>
    </row>
    <row r="6">
      <c r="A6" t="inlineStr">
        <is>
          <t>torch</t>
        </is>
      </c>
      <c r="B6" t="inlineStr">
        <is>
          <t>2.14.1+cpu</t>
        </is>
      </c>
    </row>
    <row r="7">
      <c r="A7" t="inlineStr">
        <is>
          <t>torch_cuda_build</t>
        </is>
      </c>
      <c r="B7" t="inlineStr">
        <is>
          <t>None</t>
        </is>
      </c>
    </row>
    <row r="8">
      <c r="A8" t="inlineStr">
        <is>
          <t>device</t>
        </is>
      </c>
      <c r="B8" t="inlineStr">
        <is>
          <t>cpu</t>
        </is>
      </c>
    </row>
    <row r="9">
      <c r="A9" t="inlineStr">
        <is>
          <t>gpu_name</t>
        </is>
      </c>
      <c r="B9" t="inlineStr">
        <is>
          <t>None</t>
        </is>
      </c>
    </row>
    <row r="10">
      <c r="A10" t="inlineStr">
        <is>
          <t>vram_gb</t>
        </is>
      </c>
      <c r="B10" t="inlineStr">
        <is>
          <t>None</t>
        </is>
      </c>
    </row>
    <row r="11">
      <c r="A11" t="inlineStr">
        <is>
          <t>compute_capability</t>
        </is>
      </c>
      <c r="B11" t="inlineStr">
        <is>
          <t>None</t>
        </is>
      </c>
    </row>
    <row r="12">
      <c r="A12" t="inlineStr">
        <is>
          <t>driver</t>
        </is>
      </c>
      <c r="B12" t="inlineStr">
        <is>
          <t>None</t>
        </is>
      </c>
    </row>
    <row r="13">
      <c r="A13" t="inlineStr">
        <is>
          <t>cpu_model</t>
        </is>
      </c>
      <c r="B13" t="inlineStr">
        <is>
          <t>13th Gen Intel(R) Core(TM) i9-13900HX</t>
        </is>
      </c>
    </row>
    <row r="14">
      <c r="A14" t="inlineStr">
        <is>
          <t>cpu_count</t>
        </is>
      </c>
      <c r="B14" t="inlineStr">
        <is>
          <t>16</t>
        </is>
      </c>
    </row>
    <row r="15">
      <c r="A15" t="inlineStr">
        <is>
          <t>ram_gib</t>
        </is>
      </c>
      <c r="B15" t="inlineStr">
        <is>
          <t>8.5</t>
        </is>
      </c>
    </row>
    <row r="16">
      <c r="A16" t="inlineStr">
        <is>
          <t>virtualized</t>
        </is>
      </c>
      <c r="B16" t="inlineStr">
        <is>
          <t>True</t>
        </is>
      </c>
    </row>
    <row r="17">
      <c r="A17" t="inlineStr">
        <is>
          <t>vm_product</t>
        </is>
      </c>
      <c r="B17" t="inlineStr">
        <is>
          <t>Virtual Machine</t>
        </is>
      </c>
    </row>
    <row r="18">
      <c r="A18" t="inlineStr">
        <is>
          <t>numpy</t>
        </is>
      </c>
      <c r="B18" t="inlineStr">
        <is>
          <t>2.5.4</t>
        </is>
      </c>
    </row>
    <row r="19">
      <c r="A19" t="inlineStr">
        <is>
          <t>pandas</t>
        </is>
      </c>
      <c r="B19" t="inlineStr">
        <is>
          <t>3.0.6</t>
        </is>
      </c>
    </row>
    <row r="20">
      <c r="A20" t="inlineStr">
        <is>
          <t>matplotlib</t>
        </is>
      </c>
      <c r="B20" t="inlineStr">
        <is>
          <t>3.11.2</t>
        </is>
      </c>
    </row>
    <row r="22">
      <c r="A22" t="inlineStr">
        <is>
          <t>total runtime (s)</t>
        </is>
      </c>
      <c r="B22" t="n">
        <v>1177.5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2026-10-11T21:11:14Z</dcterms:created>
  <dcterms:modified xsi:type="dcterms:W3CDTF">2026-10-11T21:11:15Z</dcterms:modified>
</cp:coreProperties>
</file>