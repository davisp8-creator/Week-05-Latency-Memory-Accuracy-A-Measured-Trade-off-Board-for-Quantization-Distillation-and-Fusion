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App\CSP_Repos\Week-05-Latency-Memory-Accuracy-A-Measured-Trade-off-Board-for-Quantization-Distillation-and-Fusion\results\"/>
    </mc:Choice>
  </mc:AlternateContent>
  <xr:revisionPtr revIDLastSave="0" documentId="11_C3A5A84311CD3F81F4BE26551D1C37F3BCFE90FD" xr6:coauthVersionLast="47" xr6:coauthVersionMax="47" xr10:uidLastSave="{00000000-0000-0000-0000-000000000000}"/>
  <bookViews>
    <workbookView xWindow="-108" yWindow="-108" windowWidth="23640" windowHeight="14496" activeTab="6" xr2:uid="{00000000-000D-0000-FFFF-FFFF00000000}"/>
  </bookViews>
  <sheets>
    <sheet name="Board" sheetId="1" r:id="rId1"/>
    <sheet name="Methodology" sheetId="2" r:id="rId2"/>
    <sheet name="VM_vs_GPU" sheetId="3" r:id="rId3"/>
    <sheet name="Acc_Runs" sheetId="4" r:id="rId4"/>
    <sheet name="Latency_Runs" sheetId="5" r:id="rId5"/>
    <sheet name="ScalingLaw" sheetId="6" r:id="rId6"/>
    <sheet name="Hardwar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 i="6" l="1"/>
  <c r="G18" i="6"/>
  <c r="Q18" i="6" s="1"/>
  <c r="K17" i="6"/>
  <c r="G17" i="6"/>
  <c r="Q17" i="6" s="1"/>
  <c r="N14" i="6"/>
  <c r="K14" i="6"/>
  <c r="M14" i="6" s="1"/>
  <c r="I14" i="6"/>
  <c r="F14" i="6"/>
  <c r="N13" i="6"/>
  <c r="K13" i="6"/>
  <c r="M13" i="6" s="1"/>
  <c r="I13" i="6"/>
  <c r="F13" i="6"/>
  <c r="N12" i="6"/>
  <c r="K12" i="6"/>
  <c r="M12" i="6" s="1"/>
  <c r="I12" i="6"/>
  <c r="F12" i="6"/>
  <c r="N11" i="6"/>
  <c r="K11" i="6"/>
  <c r="M11" i="6" s="1"/>
  <c r="I11" i="6"/>
  <c r="F11" i="6"/>
  <c r="T36" i="1"/>
  <c r="M36" i="1"/>
  <c r="J17" i="3" s="1"/>
  <c r="K36" i="1"/>
  <c r="G17" i="3" s="1"/>
  <c r="J36" i="1"/>
  <c r="H36" i="1"/>
  <c r="M35" i="1"/>
  <c r="K35" i="1"/>
  <c r="S36" i="1" s="1"/>
  <c r="J35" i="1"/>
  <c r="H35" i="1"/>
  <c r="T34" i="1"/>
  <c r="M34" i="1"/>
  <c r="J16" i="3" s="1"/>
  <c r="K34" i="1"/>
  <c r="G16" i="3" s="1"/>
  <c r="J34" i="1"/>
  <c r="H34" i="1"/>
  <c r="T33" i="1"/>
  <c r="M33" i="1"/>
  <c r="J15" i="3" s="1"/>
  <c r="K33" i="1"/>
  <c r="G15" i="3" s="1"/>
  <c r="J33" i="1"/>
  <c r="H33" i="1"/>
  <c r="T32" i="1"/>
  <c r="M32" i="1"/>
  <c r="J14" i="3" s="1"/>
  <c r="K32" i="1"/>
  <c r="G14" i="3" s="1"/>
  <c r="J32" i="1"/>
  <c r="H32" i="1"/>
  <c r="T31" i="1"/>
  <c r="M31" i="1"/>
  <c r="J13" i="3" s="1"/>
  <c r="K31" i="1"/>
  <c r="G13" i="3" s="1"/>
  <c r="J31" i="1"/>
  <c r="H31" i="1"/>
  <c r="D13" i="3" s="1"/>
  <c r="T30" i="1"/>
  <c r="M30" i="1"/>
  <c r="J12" i="3" s="1"/>
  <c r="K30" i="1"/>
  <c r="G12" i="3" s="1"/>
  <c r="J30" i="1"/>
  <c r="H30" i="1"/>
  <c r="T29" i="1"/>
  <c r="M29" i="1"/>
  <c r="K29" i="1"/>
  <c r="J29" i="1"/>
  <c r="H29" i="1"/>
  <c r="R29" i="1" s="1"/>
  <c r="M28" i="1"/>
  <c r="J11" i="3" s="1"/>
  <c r="K28" i="1"/>
  <c r="J28" i="1"/>
  <c r="H28" i="1"/>
  <c r="T27" i="1"/>
  <c r="M27" i="1"/>
  <c r="I17" i="3" s="1"/>
  <c r="K27" i="1"/>
  <c r="J27" i="1"/>
  <c r="H27" i="1"/>
  <c r="T26" i="1"/>
  <c r="M26" i="1"/>
  <c r="I16" i="3" s="1"/>
  <c r="K16" i="3" s="1"/>
  <c r="K26" i="1"/>
  <c r="J26" i="1"/>
  <c r="H26" i="1"/>
  <c r="T25" i="1"/>
  <c r="M25" i="1"/>
  <c r="I15" i="3" s="1"/>
  <c r="K15" i="3" s="1"/>
  <c r="K25" i="1"/>
  <c r="J25" i="1"/>
  <c r="H25" i="1"/>
  <c r="T24" i="1"/>
  <c r="R24" i="1"/>
  <c r="M24" i="1"/>
  <c r="I14" i="3" s="1"/>
  <c r="K14" i="3" s="1"/>
  <c r="K24" i="1"/>
  <c r="J24" i="1"/>
  <c r="H24" i="1"/>
  <c r="C14" i="3" s="1"/>
  <c r="T23" i="1"/>
  <c r="M23" i="1"/>
  <c r="I13" i="3" s="1"/>
  <c r="K13" i="3" s="1"/>
  <c r="K23" i="1"/>
  <c r="F13" i="3" s="1"/>
  <c r="H13" i="3" s="1"/>
  <c r="J23" i="1"/>
  <c r="H23" i="1"/>
  <c r="T22" i="1"/>
  <c r="M22" i="1"/>
  <c r="I12" i="3" s="1"/>
  <c r="K12" i="3" s="1"/>
  <c r="K22" i="1"/>
  <c r="F12" i="3" s="1"/>
  <c r="H12" i="3" s="1"/>
  <c r="J22" i="1"/>
  <c r="H22" i="1"/>
  <c r="M21" i="1"/>
  <c r="I11" i="3" s="1"/>
  <c r="K11" i="3" s="1"/>
  <c r="K21" i="1"/>
  <c r="J21" i="1"/>
  <c r="H21" i="1"/>
  <c r="C11" i="3" s="1"/>
  <c r="T20" i="1"/>
  <c r="M20" i="1"/>
  <c r="J10" i="3" s="1"/>
  <c r="K20" i="1"/>
  <c r="G10" i="3" s="1"/>
  <c r="J20" i="1"/>
  <c r="H20" i="1"/>
  <c r="M19" i="1"/>
  <c r="K19" i="1"/>
  <c r="S20" i="1" s="1"/>
  <c r="J19" i="1"/>
  <c r="H19" i="1"/>
  <c r="T18" i="1"/>
  <c r="M18" i="1"/>
  <c r="J9" i="3" s="1"/>
  <c r="K18" i="1"/>
  <c r="J18" i="1"/>
  <c r="H18" i="1"/>
  <c r="T17" i="1"/>
  <c r="M17" i="1"/>
  <c r="J8" i="3" s="1"/>
  <c r="K17" i="1"/>
  <c r="J17" i="1"/>
  <c r="H17" i="1"/>
  <c r="T16" i="1"/>
  <c r="S16" i="1"/>
  <c r="R16" i="1"/>
  <c r="M16" i="1"/>
  <c r="J7" i="3" s="1"/>
  <c r="K16" i="1"/>
  <c r="G7" i="3" s="1"/>
  <c r="J16" i="1"/>
  <c r="H16" i="1"/>
  <c r="D7" i="3" s="1"/>
  <c r="T15" i="1"/>
  <c r="M15" i="1"/>
  <c r="J6" i="3" s="1"/>
  <c r="K15" i="1"/>
  <c r="J15" i="1"/>
  <c r="H15" i="1"/>
  <c r="T14" i="1"/>
  <c r="M14" i="1"/>
  <c r="J5" i="3" s="1"/>
  <c r="K14" i="1"/>
  <c r="J14" i="1"/>
  <c r="H14" i="1"/>
  <c r="T13" i="1"/>
  <c r="M13" i="1"/>
  <c r="K13" i="1"/>
  <c r="S13" i="1" s="1"/>
  <c r="J13" i="1"/>
  <c r="H13" i="1"/>
  <c r="R13" i="1" s="1"/>
  <c r="M12" i="1"/>
  <c r="J4" i="3" s="1"/>
  <c r="K12" i="1"/>
  <c r="G4" i="3" s="1"/>
  <c r="J12" i="1"/>
  <c r="H12" i="1"/>
  <c r="D4" i="3" s="1"/>
  <c r="T11" i="1"/>
  <c r="M11" i="1"/>
  <c r="I10" i="3" s="1"/>
  <c r="K11" i="1"/>
  <c r="F10" i="3" s="1"/>
  <c r="J11" i="1"/>
  <c r="H11" i="1"/>
  <c r="T10" i="1"/>
  <c r="M10" i="1"/>
  <c r="I9" i="3" s="1"/>
  <c r="K10" i="1"/>
  <c r="J10" i="1"/>
  <c r="H10" i="1"/>
  <c r="T9" i="1"/>
  <c r="M9" i="1"/>
  <c r="I8" i="3" s="1"/>
  <c r="K9" i="1"/>
  <c r="J9" i="1"/>
  <c r="H9" i="1"/>
  <c r="T8" i="1"/>
  <c r="M8" i="1"/>
  <c r="I7" i="3" s="1"/>
  <c r="K7" i="3" s="1"/>
  <c r="K8" i="1"/>
  <c r="F7" i="3" s="1"/>
  <c r="H7" i="3" s="1"/>
  <c r="J8" i="1"/>
  <c r="H8" i="1"/>
  <c r="T7" i="1"/>
  <c r="M7" i="1"/>
  <c r="I6" i="3" s="1"/>
  <c r="K6" i="3" s="1"/>
  <c r="K7" i="1"/>
  <c r="F6" i="3" s="1"/>
  <c r="J7" i="1"/>
  <c r="H7" i="1"/>
  <c r="T6" i="1"/>
  <c r="M6" i="1"/>
  <c r="I5" i="3" s="1"/>
  <c r="K5" i="3" s="1"/>
  <c r="K6" i="1"/>
  <c r="F5" i="3" s="1"/>
  <c r="J6" i="1"/>
  <c r="H6" i="1"/>
  <c r="M5" i="1"/>
  <c r="I4" i="3" s="1"/>
  <c r="K4" i="3" s="1"/>
  <c r="K5" i="1"/>
  <c r="J5" i="1"/>
  <c r="H5" i="1"/>
  <c r="C4" i="3" s="1"/>
  <c r="R18" i="6" l="1"/>
  <c r="S18" i="6"/>
  <c r="R17" i="6"/>
  <c r="S17" i="6"/>
  <c r="O14" i="6"/>
  <c r="P14" i="6" s="1"/>
  <c r="Q14" i="6" s="1"/>
  <c r="R14" i="6" s="1"/>
  <c r="L14" i="6"/>
  <c r="G14" i="6"/>
  <c r="J14" i="6" s="1"/>
  <c r="O13" i="6"/>
  <c r="P13" i="6" s="1"/>
  <c r="Q13" i="6" s="1"/>
  <c r="R13" i="6" s="1"/>
  <c r="L13" i="6"/>
  <c r="G13" i="6"/>
  <c r="J13" i="6" s="1"/>
  <c r="O12" i="6"/>
  <c r="P12" i="6" s="1"/>
  <c r="Q12" i="6" s="1"/>
  <c r="R12" i="6" s="1"/>
  <c r="L12" i="6"/>
  <c r="G12" i="6"/>
  <c r="J12" i="6" s="1"/>
  <c r="O11" i="6"/>
  <c r="P11" i="6"/>
  <c r="Q11" i="6" s="1"/>
  <c r="R11" i="6" s="1"/>
  <c r="G11" i="6"/>
  <c r="J11" i="6" s="1"/>
  <c r="L11" i="6"/>
  <c r="D17" i="3"/>
  <c r="E17" i="3" s="1"/>
  <c r="R36" i="1"/>
  <c r="R34" i="1"/>
  <c r="D16" i="3"/>
  <c r="E16" i="3" s="1"/>
  <c r="R33" i="1"/>
  <c r="D15" i="3"/>
  <c r="E15" i="3" s="1"/>
  <c r="D14" i="3"/>
  <c r="E14" i="3" s="1"/>
  <c r="R32" i="1"/>
  <c r="D12" i="3"/>
  <c r="R30" i="1"/>
  <c r="S29" i="1"/>
  <c r="S31" i="1"/>
  <c r="S34" i="1"/>
  <c r="G11" i="3"/>
  <c r="S33" i="1"/>
  <c r="S32" i="1"/>
  <c r="S30" i="1"/>
  <c r="D11" i="3"/>
  <c r="E11" i="3" s="1"/>
  <c r="R31" i="1"/>
  <c r="F17" i="3"/>
  <c r="H17" i="3" s="1"/>
  <c r="S27" i="1"/>
  <c r="C17" i="3"/>
  <c r="R27" i="1"/>
  <c r="S26" i="1"/>
  <c r="F16" i="3"/>
  <c r="H16" i="3" s="1"/>
  <c r="R26" i="1"/>
  <c r="C16" i="3"/>
  <c r="F15" i="3"/>
  <c r="H15" i="3" s="1"/>
  <c r="S25" i="1"/>
  <c r="C15" i="3"/>
  <c r="R25" i="1"/>
  <c r="F14" i="3"/>
  <c r="H14" i="3" s="1"/>
  <c r="S24" i="1"/>
  <c r="C13" i="3"/>
  <c r="E13" i="3" s="1"/>
  <c r="R23" i="1"/>
  <c r="R22" i="1"/>
  <c r="C12" i="3"/>
  <c r="F11" i="3"/>
  <c r="H11" i="3" s="1"/>
  <c r="S23" i="1"/>
  <c r="S22" i="1"/>
  <c r="D10" i="3"/>
  <c r="R20" i="1"/>
  <c r="S18" i="1"/>
  <c r="G9" i="3"/>
  <c r="R18" i="1"/>
  <c r="D9" i="3"/>
  <c r="G8" i="3"/>
  <c r="S17" i="1"/>
  <c r="D8" i="3"/>
  <c r="R17" i="1"/>
  <c r="G6" i="3"/>
  <c r="H6" i="3" s="1"/>
  <c r="S15" i="1"/>
  <c r="D6" i="3"/>
  <c r="R15" i="1"/>
  <c r="G5" i="3"/>
  <c r="H5" i="3" s="1"/>
  <c r="S14" i="1"/>
  <c r="D5" i="3"/>
  <c r="R14" i="1"/>
  <c r="C10" i="3"/>
  <c r="R11" i="1"/>
  <c r="S10" i="1"/>
  <c r="F9" i="3"/>
  <c r="H9" i="3" s="1"/>
  <c r="C9" i="3"/>
  <c r="R10" i="1"/>
  <c r="F8" i="3"/>
  <c r="H8" i="3" s="1"/>
  <c r="S9" i="1"/>
  <c r="C8" i="3"/>
  <c r="R9" i="1"/>
  <c r="C7" i="3"/>
  <c r="E7" i="3" s="1"/>
  <c r="R8" i="1"/>
  <c r="C6" i="3"/>
  <c r="R7" i="1"/>
  <c r="C5" i="3"/>
  <c r="R6" i="1"/>
  <c r="F4" i="3"/>
  <c r="H4" i="3" s="1"/>
  <c r="S11" i="1"/>
  <c r="S8" i="1"/>
  <c r="S7" i="1"/>
  <c r="S6" i="1"/>
  <c r="K17" i="3"/>
  <c r="E4" i="3"/>
  <c r="K10" i="3"/>
  <c r="H10" i="3"/>
  <c r="K9" i="3"/>
  <c r="K8" i="3"/>
  <c r="E12" i="3" l="1"/>
  <c r="E10" i="3"/>
  <c r="E9" i="3"/>
  <c r="E8" i="3"/>
  <c r="E6" i="3"/>
  <c r="E5" i="3"/>
</calcChain>
</file>

<file path=xl/sharedStrings.xml><?xml version="1.0" encoding="utf-8"?>
<sst xmlns="http://schemas.openxmlformats.org/spreadsheetml/2006/main" count="1186" uniqueCount="201">
  <si>
    <t>Brightline Logistics - Edge Model Trade-off Board</t>
  </si>
  <si>
    <t>[cpu] Intel VM (CPU only) | 13th Gen Intel(R) Core(TM) i9-13900HX | torch 2.14.1+cpu | seeds [0, 1, 2] | 5 trials x 300 timed forwards, batch 1, n_test=2000   ||   [t4gpu] Colab (T4 GPU) | Tesla T4 | torch 2.11.0+cu130 | seeds [0, 1, 2] | 5 trials x 300 timed forwards, batch 1, n_test=2000   ||   [cpu_public] Intel VM (CPU only) | 13th Gen Intel(R) Core(TM) i9-13900HX | torch 2.14.0+cpu | seeds [0, 1, 2] | 5 trials x 300 timed forwards, batch 1, n_test=884   ||   [t4gpu_public] Colab (T4 GPU) | Tesla T4 | torch 2.11.0+cu130 | seeds [0, 1, 2] | 5 trials x 300 timed forwards, batch 1, n_test=884</t>
  </si>
  <si>
    <t>tag</t>
  </si>
  <si>
    <t>config</t>
  </si>
  <si>
    <t>technique</t>
  </si>
  <si>
    <t>device</t>
  </si>
  <si>
    <t>precision</t>
  </si>
  <si>
    <t>params</t>
  </si>
  <si>
    <t>size MB</t>
  </si>
  <si>
    <t>accuracy (mean of seeds)</t>
  </si>
  <si>
    <t>accuracy std (seeds)</t>
  </si>
  <si>
    <t>acc 95% CI +/- (binomial)</t>
  </si>
  <si>
    <t>p50 ms (mean of trials)</t>
  </si>
  <si>
    <t>p50 std across trials</t>
  </si>
  <si>
    <t>p95 ms (mean of trials)</t>
  </si>
  <si>
    <t>p95 std across trials</t>
  </si>
  <si>
    <t>peak GPU MB (above floor)</t>
  </si>
  <si>
    <t>CPU RSS delta MB</t>
  </si>
  <si>
    <t>reference config</t>
  </si>
  <si>
    <t>acc delta vs ref</t>
  </si>
  <si>
    <t>p50 speedup vs ref (x)</t>
  </si>
  <si>
    <t>size ratio vs ref</t>
  </si>
  <si>
    <t>note</t>
  </si>
  <si>
    <t>peak GPU MB (absolute)</t>
  </si>
  <si>
    <t>GPU floor MB (allocated before load)</t>
  </si>
  <si>
    <t>dataset</t>
  </si>
  <si>
    <t>cpu</t>
  </si>
  <si>
    <t>baseline_fp32</t>
  </si>
  <si>
    <t>Baseline: late fusion, softmax attention, FP32</t>
  </si>
  <si>
    <t>fp32</t>
  </si>
  <si>
    <t>-</t>
  </si>
  <si>
    <t>Reference for the primary device</t>
  </si>
  <si>
    <t>synthetic</t>
  </si>
  <si>
    <t>linear_attn</t>
  </si>
  <si>
    <t>Architecture variant: linear attention</t>
  </si>
  <si>
    <t>Sequence length is only 24: no asymptotic advantage expected</t>
  </si>
  <si>
    <t>early_fusion</t>
  </si>
  <si>
    <t>Fusion variant: early fusion, same budget</t>
  </si>
  <si>
    <t>Image patches + words in one transformer</t>
  </si>
  <si>
    <t>early_fusion_2x</t>
  </si>
  <si>
    <t>Fusion variant: early fusion, 2x epochs</t>
  </si>
  <si>
    <t>Same model, double the epochs: separates 'worse' from 'slower to train'</t>
  </si>
  <si>
    <t>student_kd</t>
  </si>
  <si>
    <t>Distilled student (KD from baseline)</t>
  </si>
  <si>
    <t>Width 16, 1 layer, distilled from the baseline</t>
  </si>
  <si>
    <t>student_nokd</t>
  </si>
  <si>
    <t>Student, labels only (KD control)</t>
  </si>
  <si>
    <t>Same student from labels only: isolates the effect of KD</t>
  </si>
  <si>
    <t>cpu_baseline_int8</t>
  </si>
  <si>
    <t>Quantized: dynamic INT8 on CPU</t>
  </si>
  <si>
    <t>int8</t>
  </si>
  <si>
    <t>Dynamic INT8 on Linear layers; convolutions stay FP32</t>
  </si>
  <si>
    <t>t4gpu</t>
  </si>
  <si>
    <t>cuda</t>
  </si>
  <si>
    <t>baseline_fp16</t>
  </si>
  <si>
    <t>Precision: FP16 weights (GPU only)</t>
  </si>
  <si>
    <t>fp16</t>
  </si>
  <si>
    <t>Same weights as baseline</t>
  </si>
  <si>
    <t>cpu_baseline_fp32</t>
  </si>
  <si>
    <t>Baseline on CPU, FP32</t>
  </si>
  <si>
    <t>CPU reference when the primary device is a GPU</t>
  </si>
  <si>
    <t>cpu_public</t>
  </si>
  <si>
    <t>public</t>
  </si>
  <si>
    <t>t4gpu_public</t>
  </si>
  <si>
    <t>METHODOLOGY AND LIMITS</t>
  </si>
  <si>
    <t>Task: 6-class claim-queue routing from (bill-of-lading image, driver-note transcript). Label = cargo condition (intact/crushed/wet, from the image) x receiver outcome (accepted/refused, from the note).</t>
  </si>
  <si>
    <t>Data: synthetic, generated by the assignment script with a fixed seed. Image: noisy page, low-contrast cue (depth 0.22), faint decoy scratches and smudges. Note: 60% carry a decoy clause about a different load with the opposite outcome. 10% of image cues and 12% of note cues are wrong, so the ceiling is roughly 0.79. Same data for every configuration. The test set is never used for training or selection.</t>
  </si>
  <si>
    <t>Driver notes are text transcripts. No audio model is in the loop, so speech-recognition error is NOT measured (a stated gap).</t>
  </si>
  <si>
    <t>Public evaluation set: Hugging Face dataset intro/flickr8k (real photos with five human captions each). License: CC0-1.0 as declared on the dataset card (provenance of the underlying Flickr photos not independently verified). The dataset has no class labels, so the six scene classes are DERIVED: scene category with the most keyword hits in captions 1-4 (min 2, no tie); caption 0 is the text input. Images are centre-cropped to 64x64 grayscale. Subset: 2836 training photos (official train split, at most 500 per class) and 884 held-out photos (official dev and test splits, at most 150 per class); the list is in results/public_subset.csv.</t>
  </si>
  <si>
    <t>Because the labels come from captions, text is informative on this set: a keyword rule on the text input alone scores 0.738 on the held-out photos (chance 0.167). Read the public set as a check that the ranking of techniques holds on real photos and real language, not as a measure of document-classification skill. Accuracy here is not comparable with the synthetic set.</t>
  </si>
  <si>
    <t>Accuracy: mean over training seeds on a fixed test set; seed std, plus a binomial 95% interval that covers test-set sampling error only.</t>
  </si>
  <si>
    <t>Latency: batch size 1; warm-up before every timed trial; torch.cuda.synchronize() before and after each timed forward; repeated trials; p50/p95 per trial; variance reported across trials.</t>
  </si>
  <si>
    <t>Confounds controlled: input transfer excluded from the timer; CPU thread count pinned; configs visited in shuffled order within each trial round; each config's memory measured alone on a fresh load.</t>
  </si>
  <si>
    <t>Memory: GPU peak = torch.cuda.max_memory_allocated (excludes the CUDA context). CPU: serialized model size plus a coarse process-RSS delta.</t>
  </si>
  <si>
    <t>Techniques: dynamic INT8 quantization of Linear layers (CPU only); FP16 on GPU; knowledge distillation with a labels-only control; linear-attention variant; late vs early fusion (early fusion also trained for 2x epochs to separate 'worse' from 'slower to train').</t>
  </si>
  <si>
    <t>Hardware: runs are tagged by machine. 'cpu' = the Intel VM (CPU only); 't4gpu' = Colab T4. GPU-labelled configs run on the primary device, so on the VM they run on the CPU.</t>
  </si>
  <si>
    <t>KNOWN LIMITS (do not over-claim):</t>
  </si>
  <si>
    <t>- Synthetic data: absolute accuracy says nothing about real scanned bills of lading; only the relative ordering under controlled conditions.</t>
  </si>
  <si>
    <t>- Neither machine is the in-cab tablet. CPU INT8 on a VM or on 2 Colab vCPUs is a proxy; real Android NPU/XNNPACK latencies will differ.</t>
  </si>
  <si>
    <t>- A virtual machine adds scheduling jitter, which is why p95 and trial-to-trial spread are reported.</t>
  </si>
  <si>
    <t>- GPU memory is the peak above the allocation present just before each config loads (weights, activations, and any workspace that config allocates). Library workspaces such as cuBLAS stay allocated after training and would add the same offset to every row; the absolute peak and the floor are in columns V and W.</t>
  </si>
  <si>
    <t>- Sequence length 24 is too short for linear attention to pay off; the variant tests that, not long-context behaviour.</t>
  </si>
  <si>
    <t>- Dynamic INT8 leaves convolutions in FP32; full static INT8 or QAT could behave differently.</t>
  </si>
  <si>
    <t>- The free Colab GPU is shared; absolute latencies vary between sessions, so compare configs within one run, not across runs.</t>
  </si>
  <si>
    <t>- 3 training seeds: accuracy gaps smaller than about one seed std are not distinguishable.</t>
  </si>
  <si>
    <t>Reproduce: run the notebook on a Colab T4 (COLAB.md) and the installer script on the VM; both write results/*_&lt;tag&gt;.* and rebuild this workbook.</t>
  </si>
  <si>
    <t>Same code, same seeds, same budgets: Intel VM (hardware tag cpu) vs the GPU run, for each evaluation set</t>
  </si>
  <si>
    <t>VM acc</t>
  </si>
  <si>
    <t>GPU-run acc</t>
  </si>
  <si>
    <t>acc diff</t>
  </si>
  <si>
    <t>VM p50 ms</t>
  </si>
  <si>
    <t>GPU-run p50 ms</t>
  </si>
  <si>
    <t>p50 speedup (VM / GPU run)</t>
  </si>
  <si>
    <t>VM p95 ms</t>
  </si>
  <si>
    <t>GPU-run p95 ms</t>
  </si>
  <si>
    <t>p95 speedup</t>
  </si>
  <si>
    <t>where the GPU run executed it</t>
  </si>
  <si>
    <t>Quality should agree across hardware (small drift = floating-point order). Latency is what the hardware changes. Note the INT8 and CPU rows run on the CPU of whichever machine this was: the T4 run's CPU is Colab's 2-vCPU Xeon, not the T4.</t>
  </si>
  <si>
    <t>seed</t>
  </si>
  <si>
    <t>accuracy</t>
  </si>
  <si>
    <t>n_test</t>
  </si>
  <si>
    <t>ci95</t>
  </si>
  <si>
    <t>trial</t>
  </si>
  <si>
    <t>p50_ms</t>
  </si>
  <si>
    <t>p95_ms</t>
  </si>
  <si>
    <t>mean_ms</t>
  </si>
  <si>
    <t>std_ms</t>
  </si>
  <si>
    <t>n_iter</t>
  </si>
  <si>
    <t>Scaling-law compute estimate (6ND and Chinchilla-style token budget)</t>
  </si>
  <si>
    <t>GPU peak FP16 TFLOPs (Colab T4, vendor spec)</t>
  </si>
  <si>
    <t>Assumed model-FLOPs utilisation (MFU)</t>
  </si>
  <si>
    <t>Scale-up factor for params</t>
  </si>
  <si>
    <t>Chinchilla tokens per param (D* = k*N)</t>
  </si>
  <si>
    <t>Colab free-tier session cap (hours, approximate)</t>
  </si>
  <si>
    <t>model</t>
  </si>
  <si>
    <t>params N</t>
  </si>
  <si>
    <t>unique train samples</t>
  </si>
  <si>
    <t>tokens/sample (24 text + 64 patches)</t>
  </si>
  <si>
    <t>train samples seen (epochs x N)</t>
  </si>
  <si>
    <t>actual tokens D = samples seen x tokens/sample</t>
  </si>
  <si>
    <t>actual train FLOPs 6ND</t>
  </si>
  <si>
    <t>measured fwd FLOPs/sample</t>
  </si>
  <si>
    <t>cross-check: 3 x fwd x samples seen</t>
  </si>
  <si>
    <t>6ND / measured ratio</t>
  </si>
  <si>
    <t>Chinchilla D* = k*N</t>
  </si>
  <si>
    <t>D / D*</t>
  </si>
  <si>
    <t>unique tokens / D*</t>
  </si>
  <si>
    <t>10x params N'</t>
  </si>
  <si>
    <t>10x Chinchilla tokens D'=k*N'</t>
  </si>
  <si>
    <t>10x train FLOPs 6N'D'</t>
  </si>
  <si>
    <t>10x GPU-hours on T4</t>
  </si>
  <si>
    <t>10x fits in session cap?</t>
  </si>
  <si>
    <t>years on one T4 (reference rows)</t>
  </si>
  <si>
    <t>baseline (late fusion)</t>
  </si>
  <si>
    <t>linear-attention variant</t>
  </si>
  <si>
    <t>early fusion</t>
  </si>
  <si>
    <t>distilled student</t>
  </si>
  <si>
    <t>Reference rows: what a single free GPU cannot answer (illustrative, not measured):</t>
  </si>
  <si>
    <t>Reference: 0.9B-parameter audio model (MOSS-Transcribe-Diarize class)</t>
  </si>
  <si>
    <t>Reference: 10x of that (9B)</t>
  </si>
  <si>
    <t>How to read this:</t>
  </si>
  <si>
    <t>- 6ND: training FLOPs ~ 6 x params x tokens (2ND forward + 4ND backward). Approximate here: the CNN and a 24-token transformer are not transformer-dominated, hence the cross-check against measured FLOPs (column J).</t>
  </si>
  <si>
    <t>- Chinchilla heuristic: compute-optimal tokens D* ~ 20 x N. Our actual D counts repeated epochs; 'unique tokens / D*' shows how data-limited the run is.</t>
  </si>
  <si>
    <t>- The 10x rows apply the same heuristic. For these tiny models compute is trivial, so the GPU budget is NOT the binding constraint; the realism of the DATA is.</t>
  </si>
  <si>
    <t>- The reference rows bound the single-GPU question: a 0.9B model at Chinchilla tokens needs on the order of two months of T4 time (about 1,400 GPU-hours, against a ~12 h session), and its 10x version about 16 years. We can fine-tune or quantize such a model, but not answer how it would scale or how a 10x version would train.</t>
  </si>
  <si>
    <t>- Peak TFLOPs and MFU are assumptions (yellow cells). Change them and every dependent cell updates.</t>
  </si>
  <si>
    <t>field</t>
  </si>
  <si>
    <t>host_class</t>
  </si>
  <si>
    <t>intel-vm</t>
  </si>
  <si>
    <t>colab-t4</t>
  </si>
  <si>
    <t>host_label</t>
  </si>
  <si>
    <t>Intel VM (CPU only)</t>
  </si>
  <si>
    <t>Colab (T4 GPU)</t>
  </si>
  <si>
    <t>platform</t>
  </si>
  <si>
    <t>windows</t>
  </si>
  <si>
    <t>colab</t>
  </si>
  <si>
    <t>python</t>
  </si>
  <si>
    <t>3.14.7</t>
  </si>
  <si>
    <t>3.13.15</t>
  </si>
  <si>
    <t>torch</t>
  </si>
  <si>
    <t>2.14.1+cpu</t>
  </si>
  <si>
    <t>2.11.0+cu130</t>
  </si>
  <si>
    <t>2.14.0+cpu</t>
  </si>
  <si>
    <t>torch_cuda_build</t>
  </si>
  <si>
    <t>None</t>
  </si>
  <si>
    <t>13.0</t>
  </si>
  <si>
    <t>gpu_name</t>
  </si>
  <si>
    <t>Tesla T4</t>
  </si>
  <si>
    <t>vram_gb</t>
  </si>
  <si>
    <t>14.6</t>
  </si>
  <si>
    <t>compute_capability</t>
  </si>
  <si>
    <t>7.5</t>
  </si>
  <si>
    <t>driver</t>
  </si>
  <si>
    <t>580.82.07</t>
  </si>
  <si>
    <t>cpu_model</t>
  </si>
  <si>
    <t>13th Gen Intel(R) Core(TM) i9-13900HX</t>
  </si>
  <si>
    <t>Intel(R) Xeon(R) CPU @ 2.00GHz</t>
  </si>
  <si>
    <t>cpu_count</t>
  </si>
  <si>
    <t>16</t>
  </si>
  <si>
    <t>2</t>
  </si>
  <si>
    <t>ram_gib</t>
  </si>
  <si>
    <t>8.5</t>
  </si>
  <si>
    <t>12.7</t>
  </si>
  <si>
    <t>11.3</t>
  </si>
  <si>
    <t>virtualized</t>
  </si>
  <si>
    <t>True</t>
  </si>
  <si>
    <t>vm_product</t>
  </si>
  <si>
    <t>Virtual Machine</t>
  </si>
  <si>
    <t>Google Compute Engine (docker)</t>
  </si>
  <si>
    <t>numpy</t>
  </si>
  <si>
    <t>2.5.4</t>
  </si>
  <si>
    <t>2.1.3</t>
  </si>
  <si>
    <t>2.5.3</t>
  </si>
  <si>
    <t>pandas</t>
  </si>
  <si>
    <t>3.0.6</t>
  </si>
  <si>
    <t>2.2.3</t>
  </si>
  <si>
    <t>3.0.5</t>
  </si>
  <si>
    <t>matplotlib</t>
  </si>
  <si>
    <t>3.11.2</t>
  </si>
  <si>
    <t>3.10.0</t>
  </si>
  <si>
    <t>total runtime (s)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</si>
</sst>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5" x14ac:knownFonts="1">
    <font>
      <sz val="11"/>
      <color theme="1"/>
      <name val="Calibri"/>
      <family val="2"/>
      <scheme val="minor"/>
    </font>
    <font>
      <b/>
      <sz val="11"/>
      <color rgb="FFFFFFFF"/>
      <name val="Calibri"/>
    </font>
    <font>
      <b/>
      <sz val="14"/>
      <name val="Calibri"/>
    </font>
    <font>
      <b/>
      <sz val="13"/>
      <name val="Calibri"/>
    </font>
    <font>
      <b/>
      <sz val="11"/>
      <name val="Calibri"/>
    </font>
  </fonts>
  <fills count="4">
    <fill>
      <patternFill patternType="none"/>
    </fill>
    <fill>
      <patternFill patternType="gray125"/>
    </fill>
    <fill>
      <patternFill patternType="solid">
        <fgColor rgb="FF1F3A5F"/>
      </patternFill>
    </fill>
    <fill>
      <patternFill patternType="solid">
        <fgColor rgb="FFFFF2CC"/>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1" fillId="2" borderId="0" xfId="0" applyFont="1" applyFill="1" applyAlignment="1">
      <alignment vertical="center" wrapText="1"/>
    </xf>
    <xf numFmtId="164" fontId="0" fillId="0" borderId="0" xfId="0" applyNumberFormat="1"/>
    <xf numFmtId="165" fontId="0" fillId="0" borderId="0" xfId="0" applyNumberFormat="1"/>
    <xf numFmtId="0" fontId="3" fillId="0" borderId="0" xfId="0" applyFont="1" applyAlignment="1">
      <alignment wrapText="1"/>
    </xf>
    <xf numFmtId="0" fontId="0" fillId="0" borderId="0" xfId="0" applyAlignment="1">
      <alignment wrapText="1"/>
    </xf>
    <xf numFmtId="0" fontId="3" fillId="0" borderId="0" xfId="0" applyFont="1"/>
    <xf numFmtId="0" fontId="0" fillId="3" borderId="0" xfId="0" applyFill="1"/>
    <xf numFmtId="11" fontId="0" fillId="0" borderId="0" xfId="0" applyNumberFormat="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38</xdr:row>
      <xdr:rowOff>0</xdr:rowOff>
    </xdr:from>
    <xdr:ext cx="15354300" cy="113919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36"/>
  <sheetViews>
    <sheetView workbookViewId="0">
      <pane xSplit="2" ySplit="4" topLeftCell="C5" activePane="bottomRight" state="frozen"/>
      <selection pane="topRight"/>
      <selection pane="bottomLeft"/>
      <selection pane="bottomRight"/>
    </sheetView>
  </sheetViews>
  <sheetFormatPr defaultRowHeight="14.4" x14ac:dyDescent="0.3"/>
  <cols>
    <col min="1" max="2" width="12" customWidth="1"/>
    <col min="3" max="3" width="46" customWidth="1"/>
    <col min="4" max="4" width="12" customWidth="1"/>
    <col min="5" max="5" width="13" customWidth="1"/>
    <col min="6" max="7" width="12" customWidth="1"/>
    <col min="8" max="8" width="28" customWidth="1"/>
    <col min="9" max="9" width="24" customWidth="1"/>
    <col min="10" max="10" width="29" customWidth="1"/>
    <col min="11" max="11" width="27" customWidth="1"/>
    <col min="12" max="12" width="25" customWidth="1"/>
    <col min="13" max="13" width="27" customWidth="1"/>
    <col min="14" max="14" width="25" customWidth="1"/>
    <col min="15" max="15" width="29" customWidth="1"/>
    <col min="16" max="18" width="20" customWidth="1"/>
    <col min="19" max="19" width="26" customWidth="1"/>
    <col min="20" max="20" width="21" customWidth="1"/>
    <col min="21" max="21" width="60" customWidth="1"/>
    <col min="22" max="22" width="26" customWidth="1"/>
    <col min="23" max="23" width="34" customWidth="1"/>
    <col min="24" max="24" width="12" customWidth="1"/>
  </cols>
  <sheetData>
    <row r="1" spans="1:24" ht="18" x14ac:dyDescent="0.35">
      <c r="A1" s="1" t="s">
        <v>0</v>
      </c>
    </row>
    <row r="2" spans="1:24" x14ac:dyDescent="0.3">
      <c r="A2" t="s">
        <v>1</v>
      </c>
    </row>
    <row r="4" spans="1:24" x14ac:dyDescent="0.3">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row>
    <row r="5" spans="1:24" x14ac:dyDescent="0.3">
      <c r="A5" t="s">
        <v>26</v>
      </c>
      <c r="B5" t="s">
        <v>27</v>
      </c>
      <c r="C5" t="s">
        <v>28</v>
      </c>
      <c r="D5" t="s">
        <v>26</v>
      </c>
      <c r="E5" t="s">
        <v>29</v>
      </c>
      <c r="F5">
        <v>138022</v>
      </c>
      <c r="G5">
        <v>0.54269999999999996</v>
      </c>
      <c r="H5" s="3">
        <f>AVERAGEIFS(Acc_Runs!D2:D97,Acc_Runs!A2:A97,A5,Acc_Runs!B2:B97,B5)</f>
        <v>0.78949999999999998</v>
      </c>
      <c r="I5" s="3">
        <v>1.261942946412397E-2</v>
      </c>
      <c r="J5" s="3">
        <f>AVERAGEIFS(Acc_Runs!F2:F97,Acc_Runs!A2:A97,A5,Acc_Runs!B2:B97,B5)</f>
        <v>1.7858104248267601E-2</v>
      </c>
      <c r="K5" s="4">
        <f>AVERAGEIFS(Latency_Runs!E2:E161,Latency_Runs!A2:A161,A5,Latency_Runs!B2:B161,B5)</f>
        <v>0.62027999993006233</v>
      </c>
      <c r="L5" s="4">
        <v>6.9941588423326709E-3</v>
      </c>
      <c r="M5" s="4">
        <f>AVERAGEIFS(Latency_Runs!F2:F161,Latency_Runs!A2:A161,A5,Latency_Runs!B2:B161,B5)</f>
        <v>0.89351100123167271</v>
      </c>
      <c r="N5" s="4">
        <v>5.974829164885307E-2</v>
      </c>
      <c r="P5">
        <v>1.49</v>
      </c>
      <c r="Q5" t="s">
        <v>30</v>
      </c>
      <c r="R5" s="3"/>
      <c r="S5" s="4"/>
      <c r="T5" s="4"/>
      <c r="U5" t="s">
        <v>31</v>
      </c>
      <c r="X5" t="s">
        <v>32</v>
      </c>
    </row>
    <row r="6" spans="1:24" x14ac:dyDescent="0.3">
      <c r="A6" t="s">
        <v>26</v>
      </c>
      <c r="B6" t="s">
        <v>33</v>
      </c>
      <c r="C6" t="s">
        <v>34</v>
      </c>
      <c r="D6" t="s">
        <v>26</v>
      </c>
      <c r="E6" t="s">
        <v>29</v>
      </c>
      <c r="F6">
        <v>138022</v>
      </c>
      <c r="G6">
        <v>0.54269999999999996</v>
      </c>
      <c r="H6" s="3">
        <f>AVERAGEIFS(Acc_Runs!D2:D97,Acc_Runs!A2:A97,A6,Acc_Runs!B2:B97,B6)</f>
        <v>0.79200000000000015</v>
      </c>
      <c r="I6" s="3">
        <v>1.252996408614168E-2</v>
      </c>
      <c r="J6" s="3">
        <f>AVERAGEIFS(Acc_Runs!F2:F97,Acc_Runs!A2:A97,A6,Acc_Runs!B2:B97,B6)</f>
        <v>1.7779730412023766E-2</v>
      </c>
      <c r="K6" s="4">
        <f>AVERAGEIFS(Latency_Runs!E2:E161,Latency_Runs!A2:A161,A6,Latency_Runs!B2:B161,B6)</f>
        <v>0.84558999951696023</v>
      </c>
      <c r="L6" s="4">
        <v>1.374806292794725E-2</v>
      </c>
      <c r="M6" s="4">
        <f>AVERAGEIFS(Latency_Runs!F2:F161,Latency_Runs!A2:A161,A6,Latency_Runs!B2:B161,B6)</f>
        <v>1.2445150014536923</v>
      </c>
      <c r="N6" s="4">
        <v>8.8331122059398484E-2</v>
      </c>
      <c r="P6">
        <v>-37.869999999999997</v>
      </c>
      <c r="Q6" t="s">
        <v>27</v>
      </c>
      <c r="R6" s="3">
        <f>H6-H5</f>
        <v>2.5000000000001688E-3</v>
      </c>
      <c r="S6" s="4">
        <f>K5/K6</f>
        <v>0.73354699119478084</v>
      </c>
      <c r="T6" s="4">
        <f>G6/G5</f>
        <v>1</v>
      </c>
      <c r="U6" t="s">
        <v>35</v>
      </c>
      <c r="X6" t="s">
        <v>32</v>
      </c>
    </row>
    <row r="7" spans="1:24" x14ac:dyDescent="0.3">
      <c r="A7" t="s">
        <v>26</v>
      </c>
      <c r="B7" t="s">
        <v>36</v>
      </c>
      <c r="C7" t="s">
        <v>37</v>
      </c>
      <c r="D7" t="s">
        <v>26</v>
      </c>
      <c r="E7" t="s">
        <v>29</v>
      </c>
      <c r="F7">
        <v>114630</v>
      </c>
      <c r="G7">
        <v>0.4471</v>
      </c>
      <c r="H7" s="3">
        <f>AVERAGEIFS(Acc_Runs!D2:D97,Acc_Runs!A2:A97,A7,Acc_Runs!B2:B97,B7)</f>
        <v>0.29366666666666669</v>
      </c>
      <c r="I7" s="3">
        <v>8.6216781042517156E-3</v>
      </c>
      <c r="J7" s="3">
        <f>AVERAGEIFS(Acc_Runs!F2:F97,Acc_Runs!A2:A97,A7,Acc_Runs!B2:B97,B7)</f>
        <v>1.9957716983812396E-2</v>
      </c>
      <c r="K7" s="4">
        <f>AVERAGEIFS(Latency_Runs!E2:E161,Latency_Runs!A2:A161,A7,Latency_Runs!B2:B161,B7)</f>
        <v>0.55910999981279019</v>
      </c>
      <c r="L7" s="4">
        <v>5.2999298084464314E-3</v>
      </c>
      <c r="M7" s="4">
        <f>AVERAGEIFS(Latency_Runs!F2:F161,Latency_Runs!A2:A161,A7,Latency_Runs!B2:B161,B7)</f>
        <v>0.8044100005281507</v>
      </c>
      <c r="N7" s="4">
        <v>4.0711630174224578E-2</v>
      </c>
      <c r="P7">
        <v>0.11</v>
      </c>
      <c r="Q7" t="s">
        <v>27</v>
      </c>
      <c r="R7" s="3">
        <f>H7-H5</f>
        <v>-0.49583333333333329</v>
      </c>
      <c r="S7" s="4">
        <f>K5/K7</f>
        <v>1.1094060205286151</v>
      </c>
      <c r="T7" s="4">
        <f>G7/G5</f>
        <v>0.82384374424175422</v>
      </c>
      <c r="U7" t="s">
        <v>38</v>
      </c>
      <c r="X7" t="s">
        <v>32</v>
      </c>
    </row>
    <row r="8" spans="1:24" x14ac:dyDescent="0.3">
      <c r="A8" t="s">
        <v>26</v>
      </c>
      <c r="B8" t="s">
        <v>39</v>
      </c>
      <c r="C8" t="s">
        <v>40</v>
      </c>
      <c r="D8" t="s">
        <v>26</v>
      </c>
      <c r="E8" t="s">
        <v>29</v>
      </c>
      <c r="F8">
        <v>114630</v>
      </c>
      <c r="G8">
        <v>0.4471</v>
      </c>
      <c r="H8" s="3">
        <f>AVERAGEIFS(Acc_Runs!D2:D97,Acc_Runs!A2:A97,A8,Acc_Runs!B2:B97,B8)</f>
        <v>0.28150000000000003</v>
      </c>
      <c r="I8" s="3">
        <v>1.3811227316933119E-2</v>
      </c>
      <c r="J8" s="3">
        <f>AVERAGEIFS(Acc_Runs!F2:F97,Acc_Runs!A2:A97,A8,Acc_Runs!B2:B97,B8)</f>
        <v>1.97026748669199E-2</v>
      </c>
      <c r="K8" s="4">
        <f>AVERAGEIFS(Latency_Runs!E2:E161,Latency_Runs!A2:A161,A8,Latency_Runs!B2:B161,B8)</f>
        <v>0.58195999990857672</v>
      </c>
      <c r="L8" s="4">
        <v>1.7736311952133391E-2</v>
      </c>
      <c r="M8" s="4">
        <f>AVERAGEIFS(Latency_Runs!F2:F161,Latency_Runs!A2:A161,A8,Latency_Runs!B2:B161,B8)</f>
        <v>0.87990199928754009</v>
      </c>
      <c r="N8" s="4">
        <v>4.0078036534876328E-2</v>
      </c>
      <c r="P8">
        <v>0</v>
      </c>
      <c r="Q8" t="s">
        <v>27</v>
      </c>
      <c r="R8" s="3">
        <f>H8-H5</f>
        <v>-0.50800000000000001</v>
      </c>
      <c r="S8" s="4">
        <f>K5/K8</f>
        <v>1.0658464499750937</v>
      </c>
      <c r="T8" s="4">
        <f>G8/G5</f>
        <v>0.82384374424175422</v>
      </c>
      <c r="U8" t="s">
        <v>41</v>
      </c>
      <c r="X8" t="s">
        <v>32</v>
      </c>
    </row>
    <row r="9" spans="1:24" x14ac:dyDescent="0.3">
      <c r="A9" t="s">
        <v>26</v>
      </c>
      <c r="B9" t="s">
        <v>42</v>
      </c>
      <c r="C9" t="s">
        <v>43</v>
      </c>
      <c r="D9" t="s">
        <v>26</v>
      </c>
      <c r="E9" t="s">
        <v>29</v>
      </c>
      <c r="F9">
        <v>9030</v>
      </c>
      <c r="G9">
        <v>4.6199999999999998E-2</v>
      </c>
      <c r="H9" s="3">
        <f>AVERAGEIFS(Acc_Runs!D2:D97,Acc_Runs!A2:A97,A9,Acc_Runs!B2:B97,B9)</f>
        <v>0.75783333333333325</v>
      </c>
      <c r="I9" s="3">
        <v>9.087537253477088E-3</v>
      </c>
      <c r="J9" s="3">
        <f>AVERAGEIFS(Acc_Runs!F2:F97,Acc_Runs!A2:A97,A9,Acc_Runs!B2:B97,B9)</f>
        <v>1.8771364865201801E-2</v>
      </c>
      <c r="K9" s="4">
        <f>AVERAGEIFS(Latency_Runs!E2:E161,Latency_Runs!A2:A161,A9,Latency_Runs!B2:B161,B9)</f>
        <v>0.39119000030041201</v>
      </c>
      <c r="L9" s="4">
        <v>1.304829515716722E-2</v>
      </c>
      <c r="M9" s="4">
        <f>AVERAGEIFS(Latency_Runs!F2:F161,Latency_Runs!A2:A161,A9,Latency_Runs!B2:B161,B9)</f>
        <v>0.59962999948766094</v>
      </c>
      <c r="N9" s="4">
        <v>3.9326397023263418E-2</v>
      </c>
      <c r="P9">
        <v>0.12</v>
      </c>
      <c r="Q9" t="s">
        <v>27</v>
      </c>
      <c r="R9" s="3">
        <f>H9-H5</f>
        <v>-3.1666666666666732E-2</v>
      </c>
      <c r="S9" s="4">
        <f>K5/K9</f>
        <v>1.5856233529837727</v>
      </c>
      <c r="T9" s="4">
        <f>G9/G5</f>
        <v>8.5129906025428415E-2</v>
      </c>
      <c r="U9" t="s">
        <v>44</v>
      </c>
      <c r="X9" t="s">
        <v>32</v>
      </c>
    </row>
    <row r="10" spans="1:24" x14ac:dyDescent="0.3">
      <c r="A10" t="s">
        <v>26</v>
      </c>
      <c r="B10" t="s">
        <v>45</v>
      </c>
      <c r="C10" t="s">
        <v>46</v>
      </c>
      <c r="D10" t="s">
        <v>26</v>
      </c>
      <c r="E10" t="s">
        <v>29</v>
      </c>
      <c r="F10">
        <v>9030</v>
      </c>
      <c r="G10">
        <v>4.6199999999999998E-2</v>
      </c>
      <c r="H10" s="3">
        <f>AVERAGEIFS(Acc_Runs!D2:D97,Acc_Runs!A2:A97,A10,Acc_Runs!B2:B97,B10)</f>
        <v>0.73766666666666669</v>
      </c>
      <c r="I10" s="3">
        <v>6.0484157705413787E-3</v>
      </c>
      <c r="J10" s="3">
        <f>AVERAGEIFS(Acc_Runs!F2:F97,Acc_Runs!A2:A97,A10,Acc_Runs!B2:B97,B10)</f>
        <v>1.9278019163742371E-2</v>
      </c>
      <c r="K10" s="4">
        <f>AVERAGEIFS(Latency_Runs!E2:E161,Latency_Runs!A2:A161,A10,Latency_Runs!B2:B161,B10)</f>
        <v>0.38820000008854549</v>
      </c>
      <c r="L10" s="4">
        <v>5.6230555257471612E-3</v>
      </c>
      <c r="M10" s="4">
        <f>AVERAGEIFS(Latency_Runs!F2:F161,Latency_Runs!A2:A161,A10,Latency_Runs!B2:B161,B10)</f>
        <v>0.60940699913771823</v>
      </c>
      <c r="N10" s="4">
        <v>3.776819675374072E-2</v>
      </c>
      <c r="P10">
        <v>0.01</v>
      </c>
      <c r="Q10" t="s">
        <v>27</v>
      </c>
      <c r="R10" s="3">
        <f>H10-H5</f>
        <v>-5.1833333333333287E-2</v>
      </c>
      <c r="S10" s="4">
        <f>K5/K10</f>
        <v>1.5978361663796525</v>
      </c>
      <c r="T10" s="4">
        <f>G10/G5</f>
        <v>8.5129906025428415E-2</v>
      </c>
      <c r="U10" t="s">
        <v>47</v>
      </c>
      <c r="X10" t="s">
        <v>32</v>
      </c>
    </row>
    <row r="11" spans="1:24" x14ac:dyDescent="0.3">
      <c r="A11" t="s">
        <v>26</v>
      </c>
      <c r="B11" t="s">
        <v>48</v>
      </c>
      <c r="C11" t="s">
        <v>49</v>
      </c>
      <c r="D11" t="s">
        <v>26</v>
      </c>
      <c r="E11" t="s">
        <v>50</v>
      </c>
      <c r="F11">
        <v>138022</v>
      </c>
      <c r="G11">
        <v>0.24390000000000001</v>
      </c>
      <c r="H11" s="3">
        <f>AVERAGEIFS(Acc_Runs!D2:D97,Acc_Runs!A2:A97,A11,Acc_Runs!B2:B97,B11)</f>
        <v>0.79033333333333333</v>
      </c>
      <c r="I11" s="3">
        <v>1.307988277215563E-2</v>
      </c>
      <c r="J11" s="3">
        <f>AVERAGEIFS(Acc_Runs!F2:F97,Acc_Runs!A2:A97,A11,Acc_Runs!B2:B97,B11)</f>
        <v>1.78314284795465E-2</v>
      </c>
      <c r="K11" s="4">
        <f>AVERAGEIFS(Latency_Runs!E2:E161,Latency_Runs!A2:A161,A11,Latency_Runs!B2:B161,B11)</f>
        <v>1.0456899995915592</v>
      </c>
      <c r="L11" s="4">
        <v>7.8860165481854944E-3</v>
      </c>
      <c r="M11" s="4">
        <f>AVERAGEIFS(Latency_Runs!F2:F161,Latency_Runs!A2:A161,A11,Latency_Runs!B2:B161,B11)</f>
        <v>1.5529890004836491</v>
      </c>
      <c r="N11" s="4">
        <v>9.3775740456034845E-2</v>
      </c>
      <c r="P11">
        <v>3.51</v>
      </c>
      <c r="Q11" t="s">
        <v>27</v>
      </c>
      <c r="R11" s="3">
        <f>H11-H5</f>
        <v>8.3333333333335258E-4</v>
      </c>
      <c r="S11" s="4">
        <f>K5/K11</f>
        <v>0.59317771057611757</v>
      </c>
      <c r="T11" s="4">
        <f>G11/G5</f>
        <v>0.44941956882255396</v>
      </c>
      <c r="U11" t="s">
        <v>51</v>
      </c>
      <c r="X11" t="s">
        <v>32</v>
      </c>
    </row>
    <row r="12" spans="1:24" x14ac:dyDescent="0.3">
      <c r="A12" t="s">
        <v>52</v>
      </c>
      <c r="B12" t="s">
        <v>27</v>
      </c>
      <c r="C12" t="s">
        <v>28</v>
      </c>
      <c r="D12" t="s">
        <v>53</v>
      </c>
      <c r="E12" t="s">
        <v>29</v>
      </c>
      <c r="F12">
        <v>138022</v>
      </c>
      <c r="G12">
        <v>0.54339999999999999</v>
      </c>
      <c r="H12" s="3">
        <f>AVERAGEIFS(Acc_Runs!D2:D97,Acc_Runs!A2:A97,A12,Acc_Runs!B2:B97,B12)</f>
        <v>0.79266666666666674</v>
      </c>
      <c r="I12" s="3">
        <v>1.396722353702891E-2</v>
      </c>
      <c r="J12" s="3">
        <f>AVERAGEIFS(Acc_Runs!F2:F97,Acc_Runs!A2:A97,A12,Acc_Runs!B2:B97,B12)</f>
        <v>1.7756651964033466E-2</v>
      </c>
      <c r="K12" s="4">
        <f>AVERAGEIFS(Latency_Runs!E2:E161,Latency_Runs!A2:A161,A12,Latency_Runs!B2:B161,B12)</f>
        <v>1.5754963000063067</v>
      </c>
      <c r="L12" s="4">
        <v>5.210499186771108E-2</v>
      </c>
      <c r="M12" s="4">
        <f>AVERAGEIFS(Latency_Runs!F2:F161,Latency_Runs!A2:A161,A12,Latency_Runs!B2:B161,B12)</f>
        <v>2.0572765300221363</v>
      </c>
      <c r="N12" s="4">
        <v>0.19997579214645619</v>
      </c>
      <c r="O12">
        <v>1.6950000000000001</v>
      </c>
      <c r="P12">
        <v>0.33</v>
      </c>
      <c r="Q12" t="s">
        <v>30</v>
      </c>
      <c r="R12" s="3"/>
      <c r="S12" s="4"/>
      <c r="T12" s="4"/>
      <c r="U12" t="s">
        <v>31</v>
      </c>
      <c r="V12">
        <v>18.945</v>
      </c>
      <c r="W12">
        <v>17.25</v>
      </c>
      <c r="X12" t="s">
        <v>32</v>
      </c>
    </row>
    <row r="13" spans="1:24" x14ac:dyDescent="0.3">
      <c r="A13" t="s">
        <v>52</v>
      </c>
      <c r="B13" t="s">
        <v>54</v>
      </c>
      <c r="C13" t="s">
        <v>55</v>
      </c>
      <c r="D13" t="s">
        <v>53</v>
      </c>
      <c r="E13" t="s">
        <v>56</v>
      </c>
      <c r="F13">
        <v>138022</v>
      </c>
      <c r="G13">
        <v>0.27960000000000002</v>
      </c>
      <c r="H13" s="3">
        <f>AVERAGEIFS(Acc_Runs!D2:D97,Acc_Runs!A2:A97,A13,Acc_Runs!B2:B97,B13)</f>
        <v>0.79183333333333339</v>
      </c>
      <c r="I13" s="3">
        <v>1.304160010632646E-2</v>
      </c>
      <c r="J13" s="3">
        <f>AVERAGEIFS(Acc_Runs!F2:F97,Acc_Runs!A2:A97,A13,Acc_Runs!B2:B97,B13)</f>
        <v>1.7784371908429564E-2</v>
      </c>
      <c r="K13" s="4">
        <f>AVERAGEIFS(Latency_Runs!E2:E161,Latency_Runs!A2:A161,A13,Latency_Runs!B2:B161,B13)</f>
        <v>1.7569225999523042</v>
      </c>
      <c r="L13" s="4">
        <v>0.24161543149238329</v>
      </c>
      <c r="M13" s="4">
        <f>AVERAGEIFS(Latency_Runs!F2:F161,Latency_Runs!A2:A161,A13,Latency_Runs!B2:B161,B13)</f>
        <v>2.3798172999681819</v>
      </c>
      <c r="N13" s="4">
        <v>0.52161377184154389</v>
      </c>
      <c r="O13">
        <v>0.91200000000000003</v>
      </c>
      <c r="P13">
        <v>16.559999999999999</v>
      </c>
      <c r="Q13" t="s">
        <v>27</v>
      </c>
      <c r="R13" s="3">
        <f>H13-H12</f>
        <v>-8.3333333333335258E-4</v>
      </c>
      <c r="S13" s="4">
        <f>K12/K13</f>
        <v>0.89673631612973581</v>
      </c>
      <c r="T13" s="4">
        <f>G13/G12</f>
        <v>0.51453809348546198</v>
      </c>
      <c r="U13" t="s">
        <v>57</v>
      </c>
      <c r="V13">
        <v>18.161999999999999</v>
      </c>
      <c r="W13">
        <v>17.25</v>
      </c>
      <c r="X13" t="s">
        <v>32</v>
      </c>
    </row>
    <row r="14" spans="1:24" x14ac:dyDescent="0.3">
      <c r="A14" t="s">
        <v>52</v>
      </c>
      <c r="B14" t="s">
        <v>33</v>
      </c>
      <c r="C14" t="s">
        <v>34</v>
      </c>
      <c r="D14" t="s">
        <v>53</v>
      </c>
      <c r="E14" t="s">
        <v>29</v>
      </c>
      <c r="F14">
        <v>138022</v>
      </c>
      <c r="G14">
        <v>0.54339999999999999</v>
      </c>
      <c r="H14" s="3">
        <f>AVERAGEIFS(Acc_Runs!D2:D97,Acc_Runs!A2:A97,A14,Acc_Runs!B2:B97,B14)</f>
        <v>0.79300000000000004</v>
      </c>
      <c r="I14" s="3">
        <v>1.3028814220795401E-2</v>
      </c>
      <c r="J14" s="3">
        <f>AVERAGEIFS(Acc_Runs!F2:F97,Acc_Runs!A2:A97,A14,Acc_Runs!B2:B97,B14)</f>
        <v>1.7747418075578635E-2</v>
      </c>
      <c r="K14" s="4">
        <f>AVERAGEIFS(Latency_Runs!E2:E161,Latency_Runs!A2:A161,A14,Latency_Runs!B2:B161,B14)</f>
        <v>2.8319535000036922</v>
      </c>
      <c r="L14" s="4">
        <v>0.27127584977993602</v>
      </c>
      <c r="M14" s="4">
        <f>AVERAGEIFS(Latency_Runs!F2:F161,Latency_Runs!A2:A161,A14,Latency_Runs!B2:B161,B14)</f>
        <v>4.0264764000266959</v>
      </c>
      <c r="N14" s="4">
        <v>0.71672920420362307</v>
      </c>
      <c r="O14">
        <v>1.6950000000000001</v>
      </c>
      <c r="P14">
        <v>0.54</v>
      </c>
      <c r="Q14" t="s">
        <v>27</v>
      </c>
      <c r="R14" s="3">
        <f>H14-H12</f>
        <v>3.3333333333329662E-4</v>
      </c>
      <c r="S14" s="4">
        <f>K12/K14</f>
        <v>0.55632844960351668</v>
      </c>
      <c r="T14" s="4">
        <f>G14/G12</f>
        <v>1</v>
      </c>
      <c r="U14" t="s">
        <v>35</v>
      </c>
      <c r="V14">
        <v>18.945</v>
      </c>
      <c r="W14">
        <v>17.25</v>
      </c>
      <c r="X14" t="s">
        <v>32</v>
      </c>
    </row>
    <row r="15" spans="1:24" x14ac:dyDescent="0.3">
      <c r="A15" t="s">
        <v>52</v>
      </c>
      <c r="B15" t="s">
        <v>36</v>
      </c>
      <c r="C15" t="s">
        <v>37</v>
      </c>
      <c r="D15" t="s">
        <v>53</v>
      </c>
      <c r="E15" t="s">
        <v>29</v>
      </c>
      <c r="F15">
        <v>114630</v>
      </c>
      <c r="G15">
        <v>0.4476</v>
      </c>
      <c r="H15" s="3">
        <f>AVERAGEIFS(Acc_Runs!D2:D97,Acc_Runs!A2:A97,A15,Acc_Runs!B2:B97,B15)</f>
        <v>0.29366666666666669</v>
      </c>
      <c r="I15" s="3">
        <v>8.6216781042517156E-3</v>
      </c>
      <c r="J15" s="3">
        <f>AVERAGEIFS(Acc_Runs!F2:F97,Acc_Runs!A2:A97,A15,Acc_Runs!B2:B97,B15)</f>
        <v>1.9957716983812396E-2</v>
      </c>
      <c r="K15" s="4">
        <f>AVERAGEIFS(Latency_Runs!E2:E161,Latency_Runs!A2:A161,A15,Latency_Runs!B2:B161,B15)</f>
        <v>1.3030156000240822</v>
      </c>
      <c r="L15" s="4">
        <v>0.1653868907988692</v>
      </c>
      <c r="M15" s="4">
        <f>AVERAGEIFS(Latency_Runs!F2:F161,Latency_Runs!A2:A161,A15,Latency_Runs!B2:B161,B15)</f>
        <v>1.5476784600173235</v>
      </c>
      <c r="N15" s="4">
        <v>0.27038024804663868</v>
      </c>
      <c r="O15">
        <v>1.8120000000000001</v>
      </c>
      <c r="P15">
        <v>0</v>
      </c>
      <c r="Q15" t="s">
        <v>27</v>
      </c>
      <c r="R15" s="3">
        <f>H15-H12</f>
        <v>-0.49900000000000005</v>
      </c>
      <c r="S15" s="4">
        <f>K12/K15</f>
        <v>1.2091154549317664</v>
      </c>
      <c r="T15" s="4">
        <f>G15/G12</f>
        <v>0.82370261317629734</v>
      </c>
      <c r="U15" t="s">
        <v>38</v>
      </c>
      <c r="V15">
        <v>19.062000000000001</v>
      </c>
      <c r="W15">
        <v>17.25</v>
      </c>
      <c r="X15" t="s">
        <v>32</v>
      </c>
    </row>
    <row r="16" spans="1:24" x14ac:dyDescent="0.3">
      <c r="A16" t="s">
        <v>52</v>
      </c>
      <c r="B16" t="s">
        <v>39</v>
      </c>
      <c r="C16" t="s">
        <v>40</v>
      </c>
      <c r="D16" t="s">
        <v>53</v>
      </c>
      <c r="E16" t="s">
        <v>29</v>
      </c>
      <c r="F16">
        <v>114630</v>
      </c>
      <c r="G16">
        <v>0.4476</v>
      </c>
      <c r="H16" s="3">
        <f>AVERAGEIFS(Acc_Runs!D2:D97,Acc_Runs!A2:A97,A16,Acc_Runs!B2:B97,B16)</f>
        <v>0.27450000000000002</v>
      </c>
      <c r="I16" s="3">
        <v>2.6457513110645929E-3</v>
      </c>
      <c r="J16" s="3">
        <f>AVERAGEIFS(Acc_Runs!F2:F97,Acc_Runs!A2:A97,A16,Acc_Runs!B2:B97,B16)</f>
        <v>1.9558005286099266E-2</v>
      </c>
      <c r="K16" s="4">
        <f>AVERAGEIFS(Latency_Runs!E2:E161,Latency_Runs!A2:A161,A16,Latency_Runs!B2:B161,B16)</f>
        <v>1.3695882999627429</v>
      </c>
      <c r="L16" s="4">
        <v>0.19468761018090841</v>
      </c>
      <c r="M16" s="4">
        <f>AVERAGEIFS(Latency_Runs!F2:F161,Latency_Runs!A2:A161,A16,Latency_Runs!B2:B161,B16)</f>
        <v>1.821041169905584</v>
      </c>
      <c r="N16" s="4">
        <v>0.36072871651280708</v>
      </c>
      <c r="O16">
        <v>1.8120000000000001</v>
      </c>
      <c r="P16">
        <v>0</v>
      </c>
      <c r="Q16" t="s">
        <v>27</v>
      </c>
      <c r="R16" s="3">
        <f>H16-H12</f>
        <v>-0.51816666666666666</v>
      </c>
      <c r="S16" s="4">
        <f>K12/K16</f>
        <v>1.150342989969442</v>
      </c>
      <c r="T16" s="4">
        <f>G16/G12</f>
        <v>0.82370261317629734</v>
      </c>
      <c r="U16" t="s">
        <v>41</v>
      </c>
      <c r="V16">
        <v>19.062000000000001</v>
      </c>
      <c r="W16">
        <v>17.25</v>
      </c>
      <c r="X16" t="s">
        <v>32</v>
      </c>
    </row>
    <row r="17" spans="1:24" x14ac:dyDescent="0.3">
      <c r="A17" t="s">
        <v>52</v>
      </c>
      <c r="B17" t="s">
        <v>42</v>
      </c>
      <c r="C17" t="s">
        <v>43</v>
      </c>
      <c r="D17" t="s">
        <v>53</v>
      </c>
      <c r="E17" t="s">
        <v>29</v>
      </c>
      <c r="F17">
        <v>9030</v>
      </c>
      <c r="G17">
        <v>4.6699999999999998E-2</v>
      </c>
      <c r="H17" s="3">
        <f>AVERAGEIFS(Acc_Runs!D2:D97,Acc_Runs!A2:A97,A17,Acc_Runs!B2:B97,B17)</f>
        <v>0.75266666666666671</v>
      </c>
      <c r="I17" s="3">
        <v>1.4640127503998511E-2</v>
      </c>
      <c r="J17" s="3">
        <f>AVERAGEIFS(Acc_Runs!F2:F97,Acc_Runs!A2:A97,A17,Acc_Runs!B2:B97,B17)</f>
        <v>1.8899952590587469E-2</v>
      </c>
      <c r="K17" s="4">
        <f>AVERAGEIFS(Latency_Runs!E2:E161,Latency_Runs!A2:A161,A17,Latency_Runs!B2:B161,B17)</f>
        <v>1.1491669999941221</v>
      </c>
      <c r="L17" s="4">
        <v>4.3300491543360867E-2</v>
      </c>
      <c r="M17" s="4">
        <f>AVERAGEIFS(Latency_Runs!F2:F161,Latency_Runs!A2:A161,A17,Latency_Runs!B2:B161,B17)</f>
        <v>1.5868112399948586</v>
      </c>
      <c r="N17" s="4">
        <v>0.22385663431172709</v>
      </c>
      <c r="O17">
        <v>1.1419999999999999</v>
      </c>
      <c r="P17">
        <v>5.48</v>
      </c>
      <c r="Q17" t="s">
        <v>27</v>
      </c>
      <c r="R17" s="3">
        <f>H17-H12</f>
        <v>-4.0000000000000036E-2</v>
      </c>
      <c r="S17" s="4">
        <f>K12/K17</f>
        <v>1.3709898561430718</v>
      </c>
      <c r="T17" s="4">
        <f>G17/G12</f>
        <v>8.5940375414059619E-2</v>
      </c>
      <c r="U17" t="s">
        <v>44</v>
      </c>
      <c r="V17">
        <v>18.391999999999999</v>
      </c>
      <c r="W17">
        <v>17.25</v>
      </c>
      <c r="X17" t="s">
        <v>32</v>
      </c>
    </row>
    <row r="18" spans="1:24" x14ac:dyDescent="0.3">
      <c r="A18" t="s">
        <v>52</v>
      </c>
      <c r="B18" t="s">
        <v>45</v>
      </c>
      <c r="C18" t="s">
        <v>46</v>
      </c>
      <c r="D18" t="s">
        <v>53</v>
      </c>
      <c r="E18" t="s">
        <v>29</v>
      </c>
      <c r="F18">
        <v>9030</v>
      </c>
      <c r="G18">
        <v>4.6699999999999998E-2</v>
      </c>
      <c r="H18" s="3">
        <f>AVERAGEIFS(Acc_Runs!D2:D97,Acc_Runs!A2:A97,A18,Acc_Runs!B2:B97,B18)</f>
        <v>0.73583333333333334</v>
      </c>
      <c r="I18" s="3">
        <v>7.2858309981315003E-3</v>
      </c>
      <c r="J18" s="3">
        <f>AVERAGEIFS(Acc_Runs!F2:F97,Acc_Runs!A2:A97,A18,Acc_Runs!B2:B97,B18)</f>
        <v>1.932052298172893E-2</v>
      </c>
      <c r="K18" s="4">
        <f>AVERAGEIFS(Latency_Runs!E2:E161,Latency_Runs!A2:A161,A18,Latency_Runs!B2:B161,B18)</f>
        <v>1.2137687000176811</v>
      </c>
      <c r="L18" s="4">
        <v>7.3422815410373835E-2</v>
      </c>
      <c r="M18" s="4">
        <f>AVERAGEIFS(Latency_Runs!F2:F161,Latency_Runs!A2:A161,A18,Latency_Runs!B2:B161,B18)</f>
        <v>1.5293620400029795</v>
      </c>
      <c r="N18" s="4">
        <v>0.36926667990006662</v>
      </c>
      <c r="O18">
        <v>1.1419999999999999</v>
      </c>
      <c r="P18">
        <v>0</v>
      </c>
      <c r="Q18" t="s">
        <v>27</v>
      </c>
      <c r="R18" s="3">
        <f>H18-H12</f>
        <v>-5.6833333333333402E-2</v>
      </c>
      <c r="S18" s="4">
        <f>K12/K18</f>
        <v>1.298020207625519</v>
      </c>
      <c r="T18" s="4">
        <f>G18/G12</f>
        <v>8.5940375414059619E-2</v>
      </c>
      <c r="U18" t="s">
        <v>47</v>
      </c>
      <c r="V18">
        <v>18.391999999999999</v>
      </c>
      <c r="W18">
        <v>17.25</v>
      </c>
      <c r="X18" t="s">
        <v>32</v>
      </c>
    </row>
    <row r="19" spans="1:24" x14ac:dyDescent="0.3">
      <c r="A19" t="s">
        <v>52</v>
      </c>
      <c r="B19" t="s">
        <v>58</v>
      </c>
      <c r="C19" t="s">
        <v>59</v>
      </c>
      <c r="D19" t="s">
        <v>26</v>
      </c>
      <c r="E19" t="s">
        <v>29</v>
      </c>
      <c r="F19">
        <v>138022</v>
      </c>
      <c r="G19">
        <v>0.54269999999999996</v>
      </c>
      <c r="H19" s="3">
        <f>AVERAGEIFS(Acc_Runs!D2:D97,Acc_Runs!A2:A97,A19,Acc_Runs!B2:B97,B19)</f>
        <v>0.79266666666666674</v>
      </c>
      <c r="I19" s="3">
        <v>1.396722353702891E-2</v>
      </c>
      <c r="J19" s="3">
        <f>AVERAGEIFS(Acc_Runs!F2:F97,Acc_Runs!A2:A97,A19,Acc_Runs!B2:B97,B19)</f>
        <v>1.7756651964033466E-2</v>
      </c>
      <c r="K19" s="4">
        <f>AVERAGEIFS(Latency_Runs!E2:E161,Latency_Runs!A2:A161,A19,Latency_Runs!B2:B161,B19)</f>
        <v>1.7429715000162105</v>
      </c>
      <c r="L19" s="4">
        <v>3.5854349612756617E-2</v>
      </c>
      <c r="M19" s="4">
        <f>AVERAGEIFS(Latency_Runs!F2:F161,Latency_Runs!A2:A161,A19,Latency_Runs!B2:B161,B19)</f>
        <v>2.2507324499747488</v>
      </c>
      <c r="N19" s="4">
        <v>0.29662805013844618</v>
      </c>
      <c r="P19">
        <v>1.49</v>
      </c>
      <c r="Q19" t="s">
        <v>30</v>
      </c>
      <c r="R19" s="3"/>
      <c r="S19" s="4"/>
      <c r="T19" s="4"/>
      <c r="U19" t="s">
        <v>60</v>
      </c>
      <c r="X19" t="s">
        <v>32</v>
      </c>
    </row>
    <row r="20" spans="1:24" x14ac:dyDescent="0.3">
      <c r="A20" t="s">
        <v>52</v>
      </c>
      <c r="B20" t="s">
        <v>48</v>
      </c>
      <c r="C20" t="s">
        <v>49</v>
      </c>
      <c r="D20" t="s">
        <v>26</v>
      </c>
      <c r="E20" t="s">
        <v>50</v>
      </c>
      <c r="F20">
        <v>138022</v>
      </c>
      <c r="G20">
        <v>0.24390000000000001</v>
      </c>
      <c r="H20" s="3">
        <f>AVERAGEIFS(Acc_Runs!D2:D97,Acc_Runs!A2:A97,A20,Acc_Runs!B2:B97,B20)</f>
        <v>0.79199999999999993</v>
      </c>
      <c r="I20" s="3">
        <v>1.331352695569433E-2</v>
      </c>
      <c r="J20" s="3">
        <f>AVERAGEIFS(Acc_Runs!F2:F97,Acc_Runs!A2:A97,A20,Acc_Runs!B2:B97,B20)</f>
        <v>1.7778683226138733E-2</v>
      </c>
      <c r="K20" s="4">
        <f>AVERAGEIFS(Latency_Runs!E2:E161,Latency_Runs!A2:A161,A20,Latency_Runs!B2:B161,B20)</f>
        <v>2.6702124999928856</v>
      </c>
      <c r="L20" s="4">
        <v>0.90896911678067704</v>
      </c>
      <c r="M20" s="4">
        <f>AVERAGEIFS(Latency_Runs!F2:F161,Latency_Runs!A2:A161,A20,Latency_Runs!B2:B161,B20)</f>
        <v>5.2816845798952299</v>
      </c>
      <c r="N20" s="4">
        <v>3.7894552536762789</v>
      </c>
      <c r="P20">
        <v>0.2</v>
      </c>
      <c r="Q20" t="s">
        <v>58</v>
      </c>
      <c r="R20" s="3">
        <f>H20-H19</f>
        <v>-6.6666666666681529E-4</v>
      </c>
      <c r="S20" s="4">
        <f>K19/K20</f>
        <v>0.652746363827169</v>
      </c>
      <c r="T20" s="4">
        <f>G20/G19</f>
        <v>0.44941956882255396</v>
      </c>
      <c r="U20" t="s">
        <v>51</v>
      </c>
      <c r="X20" t="s">
        <v>32</v>
      </c>
    </row>
    <row r="21" spans="1:24" x14ac:dyDescent="0.3">
      <c r="A21" t="s">
        <v>61</v>
      </c>
      <c r="B21" t="s">
        <v>27</v>
      </c>
      <c r="C21" t="s">
        <v>28</v>
      </c>
      <c r="D21" t="s">
        <v>26</v>
      </c>
      <c r="E21" t="s">
        <v>29</v>
      </c>
      <c r="F21">
        <v>184934</v>
      </c>
      <c r="G21">
        <v>0.72170000000000001</v>
      </c>
      <c r="H21" s="3">
        <f>AVERAGEIFS(Acc_Runs!D2:D97,Acc_Runs!A2:A97,A21,Acc_Runs!B2:B97,B21)</f>
        <v>0.79524886877828072</v>
      </c>
      <c r="I21" s="3">
        <v>7.9185520361991311E-3</v>
      </c>
      <c r="J21" s="3">
        <f>AVERAGEIFS(Acc_Runs!F2:F97,Acc_Runs!A2:A97,A21,Acc_Runs!B2:B97,B21)</f>
        <v>2.6595590553573165E-2</v>
      </c>
      <c r="K21" s="4">
        <f>AVERAGEIFS(Latency_Runs!E2:E161,Latency_Runs!A2:A161,A21,Latency_Runs!B2:B161,B21)</f>
        <v>0.62965000106487423</v>
      </c>
      <c r="L21" s="4">
        <v>5.7749470862673681E-3</v>
      </c>
      <c r="M21" s="4">
        <f>AVERAGEIFS(Latency_Runs!F2:F161,Latency_Runs!A2:A161,A21,Latency_Runs!B2:B161,B21)</f>
        <v>0.92490599825396203</v>
      </c>
      <c r="N21" s="4">
        <v>3.0636118798803139E-2</v>
      </c>
      <c r="P21">
        <v>1.61</v>
      </c>
      <c r="Q21" t="s">
        <v>30</v>
      </c>
      <c r="R21" s="3"/>
      <c r="S21" s="4"/>
      <c r="T21" s="4"/>
      <c r="U21" t="s">
        <v>31</v>
      </c>
      <c r="X21" t="s">
        <v>62</v>
      </c>
    </row>
    <row r="22" spans="1:24" x14ac:dyDescent="0.3">
      <c r="A22" t="s">
        <v>61</v>
      </c>
      <c r="B22" t="s">
        <v>33</v>
      </c>
      <c r="C22" t="s">
        <v>34</v>
      </c>
      <c r="D22" t="s">
        <v>26</v>
      </c>
      <c r="E22" t="s">
        <v>29</v>
      </c>
      <c r="F22">
        <v>184934</v>
      </c>
      <c r="G22">
        <v>0.72170000000000001</v>
      </c>
      <c r="H22" s="3">
        <f>AVERAGEIFS(Acc_Runs!D2:D97,Acc_Runs!A2:A97,A22,Acc_Runs!B2:B97,B22)</f>
        <v>0.79374057315233781</v>
      </c>
      <c r="I22" s="3">
        <v>1.188231618143948E-2</v>
      </c>
      <c r="J22" s="3">
        <f>AVERAGEIFS(Acc_Runs!F2:F97,Acc_Runs!A2:A97,A22,Acc_Runs!B2:B97,B22)</f>
        <v>2.6661556000425066E-2</v>
      </c>
      <c r="K22" s="4">
        <f>AVERAGEIFS(Latency_Runs!E2:E161,Latency_Runs!A2:A161,A22,Latency_Runs!B2:B161,B22)</f>
        <v>0.85155999840935692</v>
      </c>
      <c r="L22" s="4">
        <v>6.2066911719131342E-3</v>
      </c>
      <c r="M22" s="4">
        <f>AVERAGEIFS(Latency_Runs!F2:F161,Latency_Runs!A2:A161,A22,Latency_Runs!B2:B161,B22)</f>
        <v>1.1506960014230574</v>
      </c>
      <c r="N22" s="4">
        <v>2.831618231497365E-2</v>
      </c>
      <c r="P22">
        <v>0.02</v>
      </c>
      <c r="Q22" t="s">
        <v>27</v>
      </c>
      <c r="R22" s="3">
        <f>H22-H21</f>
        <v>-1.5082956259429015E-3</v>
      </c>
      <c r="S22" s="4">
        <f>K21/K22</f>
        <v>0.73940767795693541</v>
      </c>
      <c r="T22" s="4">
        <f>G22/G21</f>
        <v>1</v>
      </c>
      <c r="U22" t="s">
        <v>35</v>
      </c>
      <c r="X22" t="s">
        <v>62</v>
      </c>
    </row>
    <row r="23" spans="1:24" x14ac:dyDescent="0.3">
      <c r="A23" t="s">
        <v>61</v>
      </c>
      <c r="B23" t="s">
        <v>36</v>
      </c>
      <c r="C23" t="s">
        <v>37</v>
      </c>
      <c r="D23" t="s">
        <v>26</v>
      </c>
      <c r="E23" t="s">
        <v>29</v>
      </c>
      <c r="F23">
        <v>161542</v>
      </c>
      <c r="G23">
        <v>0.62609999999999999</v>
      </c>
      <c r="H23" s="3">
        <f>AVERAGEIFS(Acc_Runs!D2:D97,Acc_Runs!A2:A97,A23,Acc_Runs!B2:B97,B23)</f>
        <v>0.76923076923076916</v>
      </c>
      <c r="I23" s="3">
        <v>1.521903172745896E-2</v>
      </c>
      <c r="J23" s="3">
        <f>AVERAGEIFS(Acc_Runs!F2:F97,Acc_Runs!A2:A97,A23,Acc_Runs!B2:B97,B23)</f>
        <v>2.7757692308746303E-2</v>
      </c>
      <c r="K23" s="4">
        <f>AVERAGEIFS(Latency_Runs!E2:E161,Latency_Runs!A2:A161,A23,Latency_Runs!B2:B161,B23)</f>
        <v>0.56734999889158644</v>
      </c>
      <c r="L23" s="4">
        <v>4.8579825373208634E-3</v>
      </c>
      <c r="M23" s="4">
        <f>AVERAGEIFS(Latency_Runs!F2:F161,Latency_Runs!A2:A161,A23,Latency_Runs!B2:B161,B23)</f>
        <v>0.84708699891052675</v>
      </c>
      <c r="N23" s="4">
        <v>1.183361728762793E-2</v>
      </c>
      <c r="P23">
        <v>0</v>
      </c>
      <c r="Q23" t="s">
        <v>27</v>
      </c>
      <c r="R23" s="3">
        <f>H23-H21</f>
        <v>-2.6018099547511553E-2</v>
      </c>
      <c r="S23" s="4">
        <f>K21/K23</f>
        <v>1.1098087640698004</v>
      </c>
      <c r="T23" s="4">
        <f>G23/G21</f>
        <v>0.86753498683663566</v>
      </c>
      <c r="U23" t="s">
        <v>38</v>
      </c>
      <c r="X23" t="s">
        <v>62</v>
      </c>
    </row>
    <row r="24" spans="1:24" x14ac:dyDescent="0.3">
      <c r="A24" t="s">
        <v>61</v>
      </c>
      <c r="B24" t="s">
        <v>39</v>
      </c>
      <c r="C24" t="s">
        <v>40</v>
      </c>
      <c r="D24" t="s">
        <v>26</v>
      </c>
      <c r="E24" t="s">
        <v>29</v>
      </c>
      <c r="F24">
        <v>161542</v>
      </c>
      <c r="G24">
        <v>0.62609999999999999</v>
      </c>
      <c r="H24" s="3">
        <f>AVERAGEIFS(Acc_Runs!D2:D97,Acc_Runs!A2:A97,A24,Acc_Runs!B2:B97,B24)</f>
        <v>0.77714932126696834</v>
      </c>
      <c r="I24" s="3">
        <v>1.036781831437969E-2</v>
      </c>
      <c r="J24" s="3">
        <f>AVERAGEIFS(Acc_Runs!F2:F97,Acc_Runs!A2:A97,A24,Acc_Runs!B2:B97,B24)</f>
        <v>2.7425846630045034E-2</v>
      </c>
      <c r="K24" s="4">
        <f>AVERAGEIFS(Latency_Runs!E2:E161,Latency_Runs!A2:A161,A24,Latency_Runs!B2:B161,B24)</f>
        <v>0.56358999863732606</v>
      </c>
      <c r="L24" s="4">
        <v>3.9540172423453129E-3</v>
      </c>
      <c r="M24" s="4">
        <f>AVERAGEIFS(Latency_Runs!F2:F161,Latency_Runs!A2:A161,A24,Latency_Runs!B2:B161,B24)</f>
        <v>0.85051699934410863</v>
      </c>
      <c r="N24" s="4">
        <v>5.4235753452933202E-2</v>
      </c>
      <c r="P24">
        <v>0</v>
      </c>
      <c r="Q24" t="s">
        <v>27</v>
      </c>
      <c r="R24" s="3">
        <f>H24-H21</f>
        <v>-1.8099547511312375E-2</v>
      </c>
      <c r="S24" s="4">
        <f>K21/K24</f>
        <v>1.1172128721007666</v>
      </c>
      <c r="T24" s="4">
        <f>G24/G21</f>
        <v>0.86753498683663566</v>
      </c>
      <c r="U24" t="s">
        <v>41</v>
      </c>
      <c r="X24" t="s">
        <v>62</v>
      </c>
    </row>
    <row r="25" spans="1:24" x14ac:dyDescent="0.3">
      <c r="A25" t="s">
        <v>61</v>
      </c>
      <c r="B25" t="s">
        <v>42</v>
      </c>
      <c r="C25" t="s">
        <v>43</v>
      </c>
      <c r="D25" t="s">
        <v>26</v>
      </c>
      <c r="E25" t="s">
        <v>29</v>
      </c>
      <c r="F25">
        <v>20758</v>
      </c>
      <c r="G25">
        <v>9.0999999999999998E-2</v>
      </c>
      <c r="H25" s="3">
        <f>AVERAGEIFS(Acc_Runs!D2:D97,Acc_Runs!A2:A97,A25,Acc_Runs!B2:B97,B25)</f>
        <v>0.73152337858220218</v>
      </c>
      <c r="I25" s="3">
        <v>6.6283543858397407E-3</v>
      </c>
      <c r="J25" s="3">
        <f>AVERAGEIFS(Acc_Runs!F2:F97,Acc_Runs!A2:A97,A25,Acc_Runs!B2:B97,B25)</f>
        <v>2.9211658304019134E-2</v>
      </c>
      <c r="K25" s="4">
        <f>AVERAGEIFS(Latency_Runs!E2:E161,Latency_Runs!A2:A161,A25,Latency_Runs!B2:B161,B25)</f>
        <v>0.3956399996241089</v>
      </c>
      <c r="L25" s="4">
        <v>7.7521300096749382E-3</v>
      </c>
      <c r="M25" s="4">
        <f>AVERAGEIFS(Latency_Runs!F2:F161,Latency_Runs!A2:A161,A25,Latency_Runs!B2:B161,B25)</f>
        <v>0.62988799880258761</v>
      </c>
      <c r="N25" s="4">
        <v>2.9992368349715071E-2</v>
      </c>
      <c r="P25">
        <v>0.15</v>
      </c>
      <c r="Q25" t="s">
        <v>27</v>
      </c>
      <c r="R25" s="3">
        <f>H25-H21</f>
        <v>-6.3725490196078538E-2</v>
      </c>
      <c r="S25" s="4">
        <f>K21/K25</f>
        <v>1.5914720494972561</v>
      </c>
      <c r="T25" s="4">
        <f>G25/G21</f>
        <v>0.12609117361784675</v>
      </c>
      <c r="U25" t="s">
        <v>44</v>
      </c>
      <c r="X25" t="s">
        <v>62</v>
      </c>
    </row>
    <row r="26" spans="1:24" x14ac:dyDescent="0.3">
      <c r="A26" t="s">
        <v>61</v>
      </c>
      <c r="B26" t="s">
        <v>45</v>
      </c>
      <c r="C26" t="s">
        <v>46</v>
      </c>
      <c r="D26" t="s">
        <v>26</v>
      </c>
      <c r="E26" t="s">
        <v>29</v>
      </c>
      <c r="F26">
        <v>20758</v>
      </c>
      <c r="G26">
        <v>9.0999999999999998E-2</v>
      </c>
      <c r="H26" s="3">
        <f>AVERAGEIFS(Acc_Runs!D2:D97,Acc_Runs!A2:A97,A26,Acc_Runs!B2:B97,B26)</f>
        <v>0.7386877828054299</v>
      </c>
      <c r="I26" s="3">
        <v>6.2983759760520883E-3</v>
      </c>
      <c r="J26" s="3">
        <f>AVERAGEIFS(Acc_Runs!F2:F97,Acc_Runs!A2:A97,A26,Acc_Runs!B2:B97,B26)</f>
        <v>2.8960205399393566E-2</v>
      </c>
      <c r="K26" s="4">
        <f>AVERAGEIFS(Latency_Runs!E2:E161,Latency_Runs!A2:A161,A26,Latency_Runs!B2:B161,B26)</f>
        <v>0.39866999941295944</v>
      </c>
      <c r="L26" s="4">
        <v>7.8183759857128349E-3</v>
      </c>
      <c r="M26" s="4">
        <f>AVERAGEIFS(Latency_Runs!F2:F161,Latency_Runs!A2:A161,A26,Latency_Runs!B2:B161,B26)</f>
        <v>0.63236100104404636</v>
      </c>
      <c r="N26" s="4">
        <v>2.1568294545657792E-2</v>
      </c>
      <c r="P26">
        <v>0</v>
      </c>
      <c r="Q26" t="s">
        <v>27</v>
      </c>
      <c r="R26" s="3">
        <f>H26-H21</f>
        <v>-5.6561085972850811E-2</v>
      </c>
      <c r="S26" s="4">
        <f>K21/K26</f>
        <v>1.5793764316152012</v>
      </c>
      <c r="T26" s="4">
        <f>G26/G21</f>
        <v>0.12609117361784675</v>
      </c>
      <c r="U26" t="s">
        <v>47</v>
      </c>
      <c r="X26" t="s">
        <v>62</v>
      </c>
    </row>
    <row r="27" spans="1:24" x14ac:dyDescent="0.3">
      <c r="A27" t="s">
        <v>61</v>
      </c>
      <c r="B27" t="s">
        <v>48</v>
      </c>
      <c r="C27" t="s">
        <v>49</v>
      </c>
      <c r="D27" t="s">
        <v>26</v>
      </c>
      <c r="E27" t="s">
        <v>50</v>
      </c>
      <c r="F27">
        <v>184934</v>
      </c>
      <c r="G27">
        <v>0.4229</v>
      </c>
      <c r="H27" s="3">
        <f>AVERAGEIFS(Acc_Runs!D2:D97,Acc_Runs!A2:A97,A27,Acc_Runs!B2:B97,B27)</f>
        <v>0.79487179487179505</v>
      </c>
      <c r="I27" s="3">
        <v>1.0510829460608139E-2</v>
      </c>
      <c r="J27" s="3">
        <f>AVERAGEIFS(Acc_Runs!F2:F97,Acc_Runs!A2:A97,A27,Acc_Runs!B2:B97,B27)</f>
        <v>2.660983774799577E-2</v>
      </c>
      <c r="K27" s="4">
        <f>AVERAGEIFS(Latency_Runs!E2:E161,Latency_Runs!A2:A161,A27,Latency_Runs!B2:B161,B27)</f>
        <v>1.0569900026894179</v>
      </c>
      <c r="L27" s="4">
        <v>1.118829750543091E-2</v>
      </c>
      <c r="M27" s="4">
        <f>AVERAGEIFS(Latency_Runs!F2:F161,Latency_Runs!A2:A161,A27,Latency_Runs!B2:B161,B27)</f>
        <v>1.4456570010952421</v>
      </c>
      <c r="N27" s="4">
        <v>3.8109196278193848E-2</v>
      </c>
      <c r="P27">
        <v>4.3</v>
      </c>
      <c r="Q27" t="s">
        <v>27</v>
      </c>
      <c r="R27" s="3">
        <f>H27-H21</f>
        <v>-3.7707390648566985E-4</v>
      </c>
      <c r="S27" s="4">
        <f>K21/K27</f>
        <v>0.59570099950121125</v>
      </c>
      <c r="T27" s="4">
        <f>G27/G21</f>
        <v>0.58597755299986143</v>
      </c>
      <c r="U27" t="s">
        <v>51</v>
      </c>
      <c r="X27" t="s">
        <v>62</v>
      </c>
    </row>
    <row r="28" spans="1:24" x14ac:dyDescent="0.3">
      <c r="A28" t="s">
        <v>63</v>
      </c>
      <c r="B28" t="s">
        <v>27</v>
      </c>
      <c r="C28" t="s">
        <v>28</v>
      </c>
      <c r="D28" t="s">
        <v>53</v>
      </c>
      <c r="E28" t="s">
        <v>29</v>
      </c>
      <c r="F28">
        <v>184934</v>
      </c>
      <c r="G28">
        <v>0.72240000000000004</v>
      </c>
      <c r="H28" s="3">
        <f>AVERAGEIFS(Acc_Runs!D2:D97,Acc_Runs!A2:A97,A28,Acc_Runs!B2:B97,B28)</f>
        <v>0.78921568627450978</v>
      </c>
      <c r="I28" s="3">
        <v>1.727969719063282E-3</v>
      </c>
      <c r="J28" s="3">
        <f>AVERAGEIFS(Acc_Runs!F2:F97,Acc_Runs!A2:A97,A28,Acc_Runs!B2:B97,B28)</f>
        <v>2.6887042640378334E-2</v>
      </c>
      <c r="K28" s="4">
        <f>AVERAGEIFS(Latency_Runs!E2:E161,Latency_Runs!A2:A161,A28,Latency_Runs!B2:B161,B28)</f>
        <v>1.6680836999967141</v>
      </c>
      <c r="L28" s="4">
        <v>0.2273971991753107</v>
      </c>
      <c r="M28" s="4">
        <f>AVERAGEIFS(Latency_Runs!F2:F161,Latency_Runs!A2:A161,A28,Latency_Runs!B2:B161,B28)</f>
        <v>2.2176687800083528</v>
      </c>
      <c r="N28" s="4">
        <v>0.34442369370009951</v>
      </c>
      <c r="O28">
        <v>1.875</v>
      </c>
      <c r="P28">
        <v>0.32</v>
      </c>
      <c r="Q28" t="s">
        <v>30</v>
      </c>
      <c r="R28" s="3"/>
      <c r="S28" s="4"/>
      <c r="T28" s="4"/>
      <c r="U28" t="s">
        <v>31</v>
      </c>
      <c r="V28">
        <v>19.125</v>
      </c>
      <c r="W28">
        <v>17.25</v>
      </c>
      <c r="X28" t="s">
        <v>62</v>
      </c>
    </row>
    <row r="29" spans="1:24" x14ac:dyDescent="0.3">
      <c r="A29" t="s">
        <v>63</v>
      </c>
      <c r="B29" t="s">
        <v>54</v>
      </c>
      <c r="C29" t="s">
        <v>55</v>
      </c>
      <c r="D29" t="s">
        <v>53</v>
      </c>
      <c r="E29" t="s">
        <v>56</v>
      </c>
      <c r="F29">
        <v>184934</v>
      </c>
      <c r="G29">
        <v>0.36899999999999999</v>
      </c>
      <c r="H29" s="3">
        <f>AVERAGEIFS(Acc_Runs!D2:D97,Acc_Runs!A2:A97,A29,Acc_Runs!B2:B97,B29)</f>
        <v>0.78921568627450978</v>
      </c>
      <c r="I29" s="3">
        <v>1.727969719063282E-3</v>
      </c>
      <c r="J29" s="3">
        <f>AVERAGEIFS(Acc_Runs!F2:F97,Acc_Runs!A2:A97,A29,Acc_Runs!B2:B97,B29)</f>
        <v>2.6887042640378334E-2</v>
      </c>
      <c r="K29" s="4">
        <f>AVERAGEIFS(Latency_Runs!E2:E161,Latency_Runs!A2:A161,A29,Latency_Runs!B2:B161,B29)</f>
        <v>1.616506500067771</v>
      </c>
      <c r="L29" s="4">
        <v>3.8319422190265212E-2</v>
      </c>
      <c r="M29" s="4">
        <f>AVERAGEIFS(Latency_Runs!F2:F161,Latency_Runs!A2:A161,A29,Latency_Runs!B2:B161,B29)</f>
        <v>1.939386609938083</v>
      </c>
      <c r="N29" s="4">
        <v>0.14761990988750179</v>
      </c>
      <c r="O29">
        <v>1.002</v>
      </c>
      <c r="P29">
        <v>22.98</v>
      </c>
      <c r="Q29" t="s">
        <v>27</v>
      </c>
      <c r="R29" s="3">
        <f>H29-H28</f>
        <v>0</v>
      </c>
      <c r="S29" s="4">
        <f>K28/K29</f>
        <v>1.0319065836894443</v>
      </c>
      <c r="T29" s="4">
        <f>G29/G28</f>
        <v>0.51079734219269102</v>
      </c>
      <c r="U29" t="s">
        <v>57</v>
      </c>
      <c r="V29">
        <v>18.251999999999999</v>
      </c>
      <c r="W29">
        <v>17.25</v>
      </c>
      <c r="X29" t="s">
        <v>62</v>
      </c>
    </row>
    <row r="30" spans="1:24" x14ac:dyDescent="0.3">
      <c r="A30" t="s">
        <v>63</v>
      </c>
      <c r="B30" t="s">
        <v>33</v>
      </c>
      <c r="C30" t="s">
        <v>34</v>
      </c>
      <c r="D30" t="s">
        <v>53</v>
      </c>
      <c r="E30" t="s">
        <v>29</v>
      </c>
      <c r="F30">
        <v>184934</v>
      </c>
      <c r="G30">
        <v>0.72240000000000004</v>
      </c>
      <c r="H30" s="3">
        <f>AVERAGEIFS(Acc_Runs!D2:D97,Acc_Runs!A2:A97,A30,Acc_Runs!B2:B97,B30)</f>
        <v>0.79864253393665174</v>
      </c>
      <c r="I30" s="3">
        <v>1.13122171945701E-3</v>
      </c>
      <c r="J30" s="3">
        <f>AVERAGEIFS(Acc_Runs!F2:F97,Acc_Runs!A2:A97,A30,Acc_Runs!B2:B97,B30)</f>
        <v>2.6435542950315766E-2</v>
      </c>
      <c r="K30" s="4">
        <f>AVERAGEIFS(Latency_Runs!E2:E161,Latency_Runs!A2:A161,A30,Latency_Runs!B2:B161,B30)</f>
        <v>2.7532043999826783</v>
      </c>
      <c r="L30" s="4">
        <v>0.23448128481597541</v>
      </c>
      <c r="M30" s="4">
        <f>AVERAGEIFS(Latency_Runs!F2:F161,Latency_Runs!A2:A161,A30,Latency_Runs!B2:B161,B30)</f>
        <v>3.5996543299961559</v>
      </c>
      <c r="N30" s="4">
        <v>0.61262536504721721</v>
      </c>
      <c r="O30">
        <v>1.875</v>
      </c>
      <c r="P30">
        <v>0.72</v>
      </c>
      <c r="Q30" t="s">
        <v>27</v>
      </c>
      <c r="R30" s="3">
        <f>H30-H28</f>
        <v>9.4268476621419683E-3</v>
      </c>
      <c r="S30" s="4">
        <f>K28/K30</f>
        <v>0.60586990926180739</v>
      </c>
      <c r="T30" s="4">
        <f>G30/G28</f>
        <v>1</v>
      </c>
      <c r="U30" t="s">
        <v>35</v>
      </c>
      <c r="V30">
        <v>19.125</v>
      </c>
      <c r="W30">
        <v>17.25</v>
      </c>
      <c r="X30" t="s">
        <v>62</v>
      </c>
    </row>
    <row r="31" spans="1:24" x14ac:dyDescent="0.3">
      <c r="A31" t="s">
        <v>63</v>
      </c>
      <c r="B31" t="s">
        <v>36</v>
      </c>
      <c r="C31" t="s">
        <v>37</v>
      </c>
      <c r="D31" t="s">
        <v>53</v>
      </c>
      <c r="E31" t="s">
        <v>29</v>
      </c>
      <c r="F31">
        <v>161542</v>
      </c>
      <c r="G31">
        <v>0.62649999999999995</v>
      </c>
      <c r="H31" s="3">
        <f>AVERAGEIFS(Acc_Runs!D2:D97,Acc_Runs!A2:A97,A31,Acc_Runs!B2:B97,B31)</f>
        <v>0.77413273001508287</v>
      </c>
      <c r="I31" s="3">
        <v>1.3013147757720519E-2</v>
      </c>
      <c r="J31" s="3">
        <f>AVERAGEIFS(Acc_Runs!F2:F97,Acc_Runs!A2:A97,A31,Acc_Runs!B2:B97,B31)</f>
        <v>2.7552655760960134E-2</v>
      </c>
      <c r="K31" s="4">
        <f>AVERAGEIFS(Latency_Runs!E2:E161,Latency_Runs!A2:A161,A31,Latency_Runs!B2:B161,B31)</f>
        <v>1.3238696999906097</v>
      </c>
      <c r="L31" s="4">
        <v>0.24003836891036909</v>
      </c>
      <c r="M31" s="4">
        <f>AVERAGEIFS(Latency_Runs!F2:F161,Latency_Runs!A2:A161,A31,Latency_Runs!B2:B161,B31)</f>
        <v>1.6322256199714502</v>
      </c>
      <c r="N31" s="4">
        <v>0.44618368224157229</v>
      </c>
      <c r="O31">
        <v>1.9910000000000001</v>
      </c>
      <c r="P31">
        <v>0</v>
      </c>
      <c r="Q31" t="s">
        <v>27</v>
      </c>
      <c r="R31" s="3">
        <f>H31-H28</f>
        <v>-1.5082956259426905E-2</v>
      </c>
      <c r="S31" s="4">
        <f>K28/K31</f>
        <v>1.260005950743148</v>
      </c>
      <c r="T31" s="4">
        <f>G31/G28</f>
        <v>0.86724806201550375</v>
      </c>
      <c r="U31" t="s">
        <v>38</v>
      </c>
      <c r="V31">
        <v>19.241</v>
      </c>
      <c r="W31">
        <v>17.25</v>
      </c>
      <c r="X31" t="s">
        <v>62</v>
      </c>
    </row>
    <row r="32" spans="1:24" x14ac:dyDescent="0.3">
      <c r="A32" t="s">
        <v>63</v>
      </c>
      <c r="B32" t="s">
        <v>39</v>
      </c>
      <c r="C32" t="s">
        <v>40</v>
      </c>
      <c r="D32" t="s">
        <v>53</v>
      </c>
      <c r="E32" t="s">
        <v>29</v>
      </c>
      <c r="F32">
        <v>161542</v>
      </c>
      <c r="G32">
        <v>0.62649999999999995</v>
      </c>
      <c r="H32" s="3">
        <f>AVERAGEIFS(Acc_Runs!D2:D97,Acc_Runs!A2:A97,A32,Acc_Runs!B2:B97,B32)</f>
        <v>0.78431372549019607</v>
      </c>
      <c r="I32" s="3">
        <v>7.272738130462233E-3</v>
      </c>
      <c r="J32" s="3">
        <f>AVERAGEIFS(Acc_Runs!F2:F97,Acc_Runs!A2:A97,A32,Acc_Runs!B2:B97,B32)</f>
        <v>2.71093814009425E-2</v>
      </c>
      <c r="K32" s="4">
        <f>AVERAGEIFS(Latency_Runs!E2:E161,Latency_Runs!A2:A161,A32,Latency_Runs!B2:B161,B32)</f>
        <v>1.3010139999778401</v>
      </c>
      <c r="L32" s="4">
        <v>0.20057189893785329</v>
      </c>
      <c r="M32" s="4">
        <f>AVERAGEIFS(Latency_Runs!F2:F161,Latency_Runs!A2:A161,A32,Latency_Runs!B2:B161,B32)</f>
        <v>1.6669413400040867</v>
      </c>
      <c r="N32" s="4">
        <v>0.38768871402485661</v>
      </c>
      <c r="O32">
        <v>1.9910000000000001</v>
      </c>
      <c r="P32">
        <v>0</v>
      </c>
      <c r="Q32" t="s">
        <v>27</v>
      </c>
      <c r="R32" s="3">
        <f>H32-H28</f>
        <v>-4.9019607843137081E-3</v>
      </c>
      <c r="S32" s="4">
        <f>K28/K32</f>
        <v>1.2821412375463495</v>
      </c>
      <c r="T32" s="4">
        <f>G32/G28</f>
        <v>0.86724806201550375</v>
      </c>
      <c r="U32" t="s">
        <v>41</v>
      </c>
      <c r="V32">
        <v>19.241</v>
      </c>
      <c r="W32">
        <v>17.25</v>
      </c>
      <c r="X32" t="s">
        <v>62</v>
      </c>
    </row>
    <row r="33" spans="1:24" x14ac:dyDescent="0.3">
      <c r="A33" t="s">
        <v>63</v>
      </c>
      <c r="B33" t="s">
        <v>42</v>
      </c>
      <c r="C33" t="s">
        <v>43</v>
      </c>
      <c r="D33" t="s">
        <v>53</v>
      </c>
      <c r="E33" t="s">
        <v>29</v>
      </c>
      <c r="F33">
        <v>20758</v>
      </c>
      <c r="G33">
        <v>9.1499999999999998E-2</v>
      </c>
      <c r="H33" s="3">
        <f>AVERAGEIFS(Acc_Runs!D2:D97,Acc_Runs!A2:A97,A33,Acc_Runs!B2:B97,B33)</f>
        <v>0.74660633484162897</v>
      </c>
      <c r="I33" s="3">
        <v>5.985862694716247E-3</v>
      </c>
      <c r="J33" s="3">
        <f>AVERAGEIFS(Acc_Runs!F2:F97,Acc_Runs!A2:A97,A33,Acc_Runs!B2:B97,B33)</f>
        <v>2.8670632648194101E-2</v>
      </c>
      <c r="K33" s="4">
        <f>AVERAGEIFS(Latency_Runs!E2:E161,Latency_Runs!A2:A161,A33,Latency_Runs!B2:B161,B33)</f>
        <v>1.1352956999417074</v>
      </c>
      <c r="L33" s="4">
        <v>1.447937904982168E-2</v>
      </c>
      <c r="M33" s="4">
        <f>AVERAGEIFS(Latency_Runs!F2:F161,Latency_Runs!A2:A161,A33,Latency_Runs!B2:B161,B33)</f>
        <v>1.266157120014668</v>
      </c>
      <c r="N33" s="4">
        <v>2.9579641816920181E-2</v>
      </c>
      <c r="O33">
        <v>1.1870000000000001</v>
      </c>
      <c r="P33">
        <v>5.19</v>
      </c>
      <c r="Q33" t="s">
        <v>27</v>
      </c>
      <c r="R33" s="3">
        <f>H33-H28</f>
        <v>-4.2609351432880804E-2</v>
      </c>
      <c r="S33" s="4">
        <f>K28/K33</f>
        <v>1.469294475511854</v>
      </c>
      <c r="T33" s="4">
        <f>G33/G28</f>
        <v>0.1266611295681063</v>
      </c>
      <c r="U33" t="s">
        <v>44</v>
      </c>
      <c r="V33">
        <v>18.437000000000001</v>
      </c>
      <c r="W33">
        <v>17.25</v>
      </c>
      <c r="X33" t="s">
        <v>62</v>
      </c>
    </row>
    <row r="34" spans="1:24" x14ac:dyDescent="0.3">
      <c r="A34" t="s">
        <v>63</v>
      </c>
      <c r="B34" t="s">
        <v>45</v>
      </c>
      <c r="C34" t="s">
        <v>46</v>
      </c>
      <c r="D34" t="s">
        <v>53</v>
      </c>
      <c r="E34" t="s">
        <v>29</v>
      </c>
      <c r="F34">
        <v>20758</v>
      </c>
      <c r="G34">
        <v>9.1499999999999998E-2</v>
      </c>
      <c r="H34" s="3">
        <f>AVERAGEIFS(Acc_Runs!D2:D97,Acc_Runs!A2:A97,A34,Acc_Runs!B2:B97,B34)</f>
        <v>0.74509803921568629</v>
      </c>
      <c r="I34" s="3">
        <v>1.22011234444671E-2</v>
      </c>
      <c r="J34" s="3">
        <f>AVERAGEIFS(Acc_Runs!F2:F97,Acc_Runs!A2:A97,A34,Acc_Runs!B2:B97,B34)</f>
        <v>2.8719212983719131E-2</v>
      </c>
      <c r="K34" s="4">
        <f>AVERAGEIFS(Latency_Runs!E2:E161,Latency_Runs!A2:A161,A34,Latency_Runs!B2:B161,B34)</f>
        <v>1.1323035000032176</v>
      </c>
      <c r="L34" s="4">
        <v>4.5457439016300581E-2</v>
      </c>
      <c r="M34" s="4">
        <f>AVERAGEIFS(Latency_Runs!F2:F161,Latency_Runs!A2:A161,A34,Latency_Runs!B2:B161,B34)</f>
        <v>1.3287990599587829</v>
      </c>
      <c r="N34" s="4">
        <v>0.1153985750882436</v>
      </c>
      <c r="O34">
        <v>1.1870000000000001</v>
      </c>
      <c r="P34">
        <v>0</v>
      </c>
      <c r="Q34" t="s">
        <v>27</v>
      </c>
      <c r="R34" s="3">
        <f>H34-H28</f>
        <v>-4.4117647058823484E-2</v>
      </c>
      <c r="S34" s="4">
        <f>K28/K34</f>
        <v>1.4731772002753449</v>
      </c>
      <c r="T34" s="4">
        <f>G34/G28</f>
        <v>0.1266611295681063</v>
      </c>
      <c r="U34" t="s">
        <v>47</v>
      </c>
      <c r="V34">
        <v>18.437000000000001</v>
      </c>
      <c r="W34">
        <v>17.25</v>
      </c>
      <c r="X34" t="s">
        <v>62</v>
      </c>
    </row>
    <row r="35" spans="1:24" x14ac:dyDescent="0.3">
      <c r="A35" t="s">
        <v>63</v>
      </c>
      <c r="B35" t="s">
        <v>58</v>
      </c>
      <c r="C35" t="s">
        <v>59</v>
      </c>
      <c r="D35" t="s">
        <v>26</v>
      </c>
      <c r="E35" t="s">
        <v>29</v>
      </c>
      <c r="F35">
        <v>184934</v>
      </c>
      <c r="G35">
        <v>0.72170000000000001</v>
      </c>
      <c r="H35" s="3">
        <f>AVERAGEIFS(Acc_Runs!D2:D97,Acc_Runs!A2:A97,A35,Acc_Runs!B2:B97,B35)</f>
        <v>0.78921568627450978</v>
      </c>
      <c r="I35" s="3">
        <v>1.727969719063282E-3</v>
      </c>
      <c r="J35" s="3">
        <f>AVERAGEIFS(Acc_Runs!F2:F97,Acc_Runs!A2:A97,A35,Acc_Runs!B2:B97,B35)</f>
        <v>2.6887042640378334E-2</v>
      </c>
      <c r="K35" s="4">
        <f>AVERAGEIFS(Latency_Runs!E2:E161,Latency_Runs!A2:A161,A35,Latency_Runs!B2:B161,B35)</f>
        <v>1.7077284000379223</v>
      </c>
      <c r="L35" s="4">
        <v>3.4056729565980687E-2</v>
      </c>
      <c r="M35" s="4">
        <f>AVERAGEIFS(Latency_Runs!F2:F161,Latency_Runs!A2:A161,A35,Latency_Runs!B2:B161,B35)</f>
        <v>2.0778015000450987</v>
      </c>
      <c r="N35" s="4">
        <v>0.20292130368450439</v>
      </c>
      <c r="P35">
        <v>1.83</v>
      </c>
      <c r="Q35" t="s">
        <v>30</v>
      </c>
      <c r="R35" s="3"/>
      <c r="S35" s="4"/>
      <c r="T35" s="4"/>
      <c r="U35" t="s">
        <v>60</v>
      </c>
      <c r="X35" t="s">
        <v>62</v>
      </c>
    </row>
    <row r="36" spans="1:24" x14ac:dyDescent="0.3">
      <c r="A36" t="s">
        <v>63</v>
      </c>
      <c r="B36" t="s">
        <v>48</v>
      </c>
      <c r="C36" t="s">
        <v>49</v>
      </c>
      <c r="D36" t="s">
        <v>26</v>
      </c>
      <c r="E36" t="s">
        <v>50</v>
      </c>
      <c r="F36">
        <v>184934</v>
      </c>
      <c r="G36">
        <v>0.4229</v>
      </c>
      <c r="H36" s="3">
        <f>AVERAGEIFS(Acc_Runs!D2:D97,Acc_Runs!A2:A97,A36,Acc_Runs!B2:B97,B36)</f>
        <v>0.79072398190045246</v>
      </c>
      <c r="I36" s="3">
        <v>1.9593334927249669E-3</v>
      </c>
      <c r="J36" s="3">
        <f>AVERAGEIFS(Acc_Runs!F2:F97,Acc_Runs!A2:A97,A36,Acc_Runs!B2:B97,B36)</f>
        <v>2.6816188015708033E-2</v>
      </c>
      <c r="K36" s="4">
        <f>AVERAGEIFS(Latency_Runs!E2:E161,Latency_Runs!A2:A161,A36,Latency_Runs!B2:B161,B36)</f>
        <v>2.5768785000082062</v>
      </c>
      <c r="L36" s="4">
        <v>0.90605806691107693</v>
      </c>
      <c r="M36" s="4">
        <f>AVERAGEIFS(Latency_Runs!F2:F161,Latency_Runs!A2:A161,A36,Latency_Runs!B2:B161,B36)</f>
        <v>3.6866439199525303</v>
      </c>
      <c r="N36" s="4">
        <v>2.521269344378684</v>
      </c>
      <c r="P36">
        <v>7.0000000000000007E-2</v>
      </c>
      <c r="Q36" t="s">
        <v>58</v>
      </c>
      <c r="R36" s="3">
        <f>H36-H35</f>
        <v>1.5082956259426794E-3</v>
      </c>
      <c r="S36" s="4">
        <f>K35/K36</f>
        <v>0.66271203707605308</v>
      </c>
      <c r="T36" s="4">
        <f>G36/G35</f>
        <v>0.58597755299986143</v>
      </c>
      <c r="U36" t="s">
        <v>51</v>
      </c>
      <c r="X36" t="s">
        <v>62</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5"/>
  <sheetViews>
    <sheetView workbookViewId="0"/>
  </sheetViews>
  <sheetFormatPr defaultRowHeight="14.4" x14ac:dyDescent="0.3"/>
  <cols>
    <col min="1" max="1" width="160" customWidth="1"/>
  </cols>
  <sheetData>
    <row r="1" spans="1:1" ht="17.399999999999999" x14ac:dyDescent="0.35">
      <c r="A1" s="5" t="s">
        <v>64</v>
      </c>
    </row>
    <row r="2" spans="1:1" x14ac:dyDescent="0.3">
      <c r="A2" s="6"/>
    </row>
    <row r="3" spans="1:1" ht="28.8" x14ac:dyDescent="0.3">
      <c r="A3" s="6" t="s">
        <v>65</v>
      </c>
    </row>
    <row r="4" spans="1:1" ht="43.2" x14ac:dyDescent="0.3">
      <c r="A4" s="6" t="s">
        <v>66</v>
      </c>
    </row>
    <row r="5" spans="1:1" x14ac:dyDescent="0.3">
      <c r="A5" s="6" t="s">
        <v>67</v>
      </c>
    </row>
    <row r="6" spans="1:1" ht="57.6" x14ac:dyDescent="0.3">
      <c r="A6" s="6" t="s">
        <v>68</v>
      </c>
    </row>
    <row r="7" spans="1:1" ht="28.8" x14ac:dyDescent="0.3">
      <c r="A7" s="6" t="s">
        <v>69</v>
      </c>
    </row>
    <row r="8" spans="1:1" x14ac:dyDescent="0.3">
      <c r="A8" s="6" t="s">
        <v>70</v>
      </c>
    </row>
    <row r="9" spans="1:1" x14ac:dyDescent="0.3">
      <c r="A9" s="6" t="s">
        <v>71</v>
      </c>
    </row>
    <row r="10" spans="1:1" ht="28.8" x14ac:dyDescent="0.3">
      <c r="A10" s="6" t="s">
        <v>72</v>
      </c>
    </row>
    <row r="11" spans="1:1" x14ac:dyDescent="0.3">
      <c r="A11" s="6" t="s">
        <v>73</v>
      </c>
    </row>
    <row r="12" spans="1:1" ht="28.8" x14ac:dyDescent="0.3">
      <c r="A12" s="6" t="s">
        <v>74</v>
      </c>
    </row>
    <row r="13" spans="1:1" x14ac:dyDescent="0.3">
      <c r="A13" s="6" t="s">
        <v>75</v>
      </c>
    </row>
    <row r="14" spans="1:1" x14ac:dyDescent="0.3">
      <c r="A14" s="6"/>
    </row>
    <row r="15" spans="1:1" x14ac:dyDescent="0.3">
      <c r="A15" s="6" t="s">
        <v>76</v>
      </c>
    </row>
    <row r="16" spans="1:1" x14ac:dyDescent="0.3">
      <c r="A16" s="6" t="s">
        <v>77</v>
      </c>
    </row>
    <row r="17" spans="1:1" x14ac:dyDescent="0.3">
      <c r="A17" s="6" t="s">
        <v>78</v>
      </c>
    </row>
    <row r="18" spans="1:1" x14ac:dyDescent="0.3">
      <c r="A18" s="6" t="s">
        <v>79</v>
      </c>
    </row>
    <row r="19" spans="1:1" ht="28.8" x14ac:dyDescent="0.3">
      <c r="A19" s="6" t="s">
        <v>80</v>
      </c>
    </row>
    <row r="20" spans="1:1" x14ac:dyDescent="0.3">
      <c r="A20" s="6" t="s">
        <v>81</v>
      </c>
    </row>
    <row r="21" spans="1:1" x14ac:dyDescent="0.3">
      <c r="A21" s="6" t="s">
        <v>82</v>
      </c>
    </row>
    <row r="22" spans="1:1" x14ac:dyDescent="0.3">
      <c r="A22" s="6" t="s">
        <v>83</v>
      </c>
    </row>
    <row r="23" spans="1:1" x14ac:dyDescent="0.3">
      <c r="A23" s="6" t="s">
        <v>84</v>
      </c>
    </row>
    <row r="24" spans="1:1" x14ac:dyDescent="0.3">
      <c r="A24" s="6"/>
    </row>
    <row r="25" spans="1:1" x14ac:dyDescent="0.3">
      <c r="A25" s="6" t="s">
        <v>85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9"/>
  <sheetViews>
    <sheetView workbookViewId="0"/>
  </sheetViews>
  <sheetFormatPr defaultRowHeight="14.4" x14ac:dyDescent="0.3"/>
  <cols>
    <col min="1" max="1" width="12" customWidth="1"/>
    <col min="2" max="2" width="24" customWidth="1"/>
    <col min="3" max="3" width="12" customWidth="1"/>
    <col min="4" max="4" width="15" customWidth="1"/>
    <col min="5" max="5" width="12" customWidth="1"/>
    <col min="6" max="6" width="13" customWidth="1"/>
    <col min="7" max="7" width="18" customWidth="1"/>
    <col min="8" max="8" width="30" customWidth="1"/>
    <col min="9" max="9" width="13" customWidth="1"/>
    <col min="10" max="10" width="18" customWidth="1"/>
    <col min="11" max="11" width="15" customWidth="1"/>
    <col min="12" max="12" width="33" customWidth="1"/>
  </cols>
  <sheetData>
    <row r="1" spans="1:12" ht="17.399999999999999" x14ac:dyDescent="0.35">
      <c r="A1" s="7" t="s">
        <v>86</v>
      </c>
    </row>
    <row r="3" spans="1:12" x14ac:dyDescent="0.3">
      <c r="A3" s="2" t="s">
        <v>25</v>
      </c>
      <c r="B3" s="2" t="s">
        <v>3</v>
      </c>
      <c r="C3" s="2" t="s">
        <v>87</v>
      </c>
      <c r="D3" s="2" t="s">
        <v>88</v>
      </c>
      <c r="E3" s="2" t="s">
        <v>89</v>
      </c>
      <c r="F3" s="2" t="s">
        <v>90</v>
      </c>
      <c r="G3" s="2" t="s">
        <v>91</v>
      </c>
      <c r="H3" s="2" t="s">
        <v>92</v>
      </c>
      <c r="I3" s="2" t="s">
        <v>93</v>
      </c>
      <c r="J3" s="2" t="s">
        <v>94</v>
      </c>
      <c r="K3" s="2" t="s">
        <v>95</v>
      </c>
      <c r="L3" s="2" t="s">
        <v>96</v>
      </c>
    </row>
    <row r="4" spans="1:12" x14ac:dyDescent="0.3">
      <c r="A4" t="s">
        <v>32</v>
      </c>
      <c r="B4" t="s">
        <v>27</v>
      </c>
      <c r="C4" s="3">
        <f>Board!H5</f>
        <v>0.78949999999999998</v>
      </c>
      <c r="D4" s="3">
        <f>Board!H12</f>
        <v>0.79266666666666674</v>
      </c>
      <c r="E4" s="3">
        <f t="shared" ref="E4:E17" si="0">D4-C4</f>
        <v>3.166666666666762E-3</v>
      </c>
      <c r="F4" s="4">
        <f>Board!K5</f>
        <v>0.62027999993006233</v>
      </c>
      <c r="G4" s="4">
        <f>Board!K12</f>
        <v>1.5754963000063067</v>
      </c>
      <c r="H4" s="4">
        <f t="shared" ref="H4:H17" si="1">F4/G4</f>
        <v>0.39370451071676865</v>
      </c>
      <c r="I4" s="4">
        <f>Board!M5</f>
        <v>0.89351100123167271</v>
      </c>
      <c r="J4" s="4">
        <f>Board!M12</f>
        <v>2.0572765300221363</v>
      </c>
      <c r="K4" s="4">
        <f t="shared" ref="K4:K17" si="2">I4/J4</f>
        <v>0.43431740370948507</v>
      </c>
      <c r="L4" t="s">
        <v>53</v>
      </c>
    </row>
    <row r="5" spans="1:12" x14ac:dyDescent="0.3">
      <c r="A5" t="s">
        <v>32</v>
      </c>
      <c r="B5" t="s">
        <v>33</v>
      </c>
      <c r="C5" s="3">
        <f>Board!H6</f>
        <v>0.79200000000000015</v>
      </c>
      <c r="D5" s="3">
        <f>Board!H14</f>
        <v>0.79300000000000004</v>
      </c>
      <c r="E5" s="3">
        <f t="shared" si="0"/>
        <v>9.9999999999988987E-4</v>
      </c>
      <c r="F5" s="4">
        <f>Board!K6</f>
        <v>0.84558999951696023</v>
      </c>
      <c r="G5" s="4">
        <f>Board!K14</f>
        <v>2.8319535000036922</v>
      </c>
      <c r="H5" s="4">
        <f t="shared" si="1"/>
        <v>0.2985889420556721</v>
      </c>
      <c r="I5" s="4">
        <f>Board!M6</f>
        <v>1.2445150014536923</v>
      </c>
      <c r="J5" s="4">
        <f>Board!M14</f>
        <v>4.0264764000266959</v>
      </c>
      <c r="K5" s="4">
        <f t="shared" si="2"/>
        <v>0.30908289973969327</v>
      </c>
      <c r="L5" t="s">
        <v>53</v>
      </c>
    </row>
    <row r="6" spans="1:12" x14ac:dyDescent="0.3">
      <c r="A6" t="s">
        <v>32</v>
      </c>
      <c r="B6" t="s">
        <v>36</v>
      </c>
      <c r="C6" s="3">
        <f>Board!H7</f>
        <v>0.29366666666666669</v>
      </c>
      <c r="D6" s="3">
        <f>Board!H15</f>
        <v>0.29366666666666669</v>
      </c>
      <c r="E6" s="3">
        <f t="shared" si="0"/>
        <v>0</v>
      </c>
      <c r="F6" s="4">
        <f>Board!K7</f>
        <v>0.55910999981279019</v>
      </c>
      <c r="G6" s="4">
        <f>Board!K15</f>
        <v>1.3030156000240822</v>
      </c>
      <c r="H6" s="4">
        <f t="shared" si="1"/>
        <v>0.42908926017651422</v>
      </c>
      <c r="I6" s="4">
        <f>Board!M7</f>
        <v>0.8044100005281507</v>
      </c>
      <c r="J6" s="4">
        <f>Board!M15</f>
        <v>1.5476784600173235</v>
      </c>
      <c r="K6" s="4">
        <f t="shared" si="2"/>
        <v>0.51975266265523057</v>
      </c>
      <c r="L6" t="s">
        <v>53</v>
      </c>
    </row>
    <row r="7" spans="1:12" x14ac:dyDescent="0.3">
      <c r="A7" t="s">
        <v>32</v>
      </c>
      <c r="B7" t="s">
        <v>39</v>
      </c>
      <c r="C7" s="3">
        <f>Board!H8</f>
        <v>0.28150000000000003</v>
      </c>
      <c r="D7" s="3">
        <f>Board!H16</f>
        <v>0.27450000000000002</v>
      </c>
      <c r="E7" s="3">
        <f t="shared" si="0"/>
        <v>-7.0000000000000062E-3</v>
      </c>
      <c r="F7" s="4">
        <f>Board!K8</f>
        <v>0.58195999990857672</v>
      </c>
      <c r="G7" s="4">
        <f>Board!K16</f>
        <v>1.3695882999627429</v>
      </c>
      <c r="H7" s="4">
        <f t="shared" si="1"/>
        <v>0.42491601302698617</v>
      </c>
      <c r="I7" s="4">
        <f>Board!M8</f>
        <v>0.87990199928754009</v>
      </c>
      <c r="J7" s="4">
        <f>Board!M16</f>
        <v>1.821041169905584</v>
      </c>
      <c r="K7" s="4">
        <f t="shared" si="2"/>
        <v>0.48318621996512062</v>
      </c>
      <c r="L7" t="s">
        <v>53</v>
      </c>
    </row>
    <row r="8" spans="1:12" x14ac:dyDescent="0.3">
      <c r="A8" t="s">
        <v>32</v>
      </c>
      <c r="B8" t="s">
        <v>42</v>
      </c>
      <c r="C8" s="3">
        <f>Board!H9</f>
        <v>0.75783333333333325</v>
      </c>
      <c r="D8" s="3">
        <f>Board!H17</f>
        <v>0.75266666666666671</v>
      </c>
      <c r="E8" s="3">
        <f t="shared" si="0"/>
        <v>-5.1666666666665417E-3</v>
      </c>
      <c r="F8" s="4">
        <f>Board!K9</f>
        <v>0.39119000030041201</v>
      </c>
      <c r="G8" s="4">
        <f>Board!K17</f>
        <v>1.1491669999941221</v>
      </c>
      <c r="H8" s="4">
        <f t="shared" si="1"/>
        <v>0.34041179419737333</v>
      </c>
      <c r="I8" s="4">
        <f>Board!M9</f>
        <v>0.59962999948766094</v>
      </c>
      <c r="J8" s="4">
        <f>Board!M17</f>
        <v>1.5868112399948586</v>
      </c>
      <c r="K8" s="4">
        <f t="shared" si="2"/>
        <v>0.37788363503752581</v>
      </c>
      <c r="L8" t="s">
        <v>53</v>
      </c>
    </row>
    <row r="9" spans="1:12" x14ac:dyDescent="0.3">
      <c r="A9" t="s">
        <v>32</v>
      </c>
      <c r="B9" t="s">
        <v>45</v>
      </c>
      <c r="C9" s="3">
        <f>Board!H10</f>
        <v>0.73766666666666669</v>
      </c>
      <c r="D9" s="3">
        <f>Board!H18</f>
        <v>0.73583333333333334</v>
      </c>
      <c r="E9" s="3">
        <f t="shared" si="0"/>
        <v>-1.8333333333333535E-3</v>
      </c>
      <c r="F9" s="4">
        <f>Board!K10</f>
        <v>0.38820000008854549</v>
      </c>
      <c r="G9" s="4">
        <f>Board!K18</f>
        <v>1.2137687000176811</v>
      </c>
      <c r="H9" s="4">
        <f t="shared" si="1"/>
        <v>0.31983029392905793</v>
      </c>
      <c r="I9" s="4">
        <f>Board!M10</f>
        <v>0.60940699913771823</v>
      </c>
      <c r="J9" s="4">
        <f>Board!M18</f>
        <v>1.5293620400029795</v>
      </c>
      <c r="K9" s="4">
        <f t="shared" si="2"/>
        <v>0.39847137773638674</v>
      </c>
      <c r="L9" t="s">
        <v>53</v>
      </c>
    </row>
    <row r="10" spans="1:12" x14ac:dyDescent="0.3">
      <c r="A10" t="s">
        <v>32</v>
      </c>
      <c r="B10" t="s">
        <v>48</v>
      </c>
      <c r="C10" s="3">
        <f>Board!H11</f>
        <v>0.79033333333333333</v>
      </c>
      <c r="D10" s="3">
        <f>Board!H20</f>
        <v>0.79199999999999993</v>
      </c>
      <c r="E10" s="3">
        <f t="shared" si="0"/>
        <v>1.6666666666665941E-3</v>
      </c>
      <c r="F10" s="4">
        <f>Board!K11</f>
        <v>1.0456899995915592</v>
      </c>
      <c r="G10" s="4">
        <f>Board!K20</f>
        <v>2.6702124999928856</v>
      </c>
      <c r="H10" s="4">
        <f t="shared" si="1"/>
        <v>0.39161302690117183</v>
      </c>
      <c r="I10" s="4">
        <f>Board!M11</f>
        <v>1.5529890004836491</v>
      </c>
      <c r="J10" s="4">
        <f>Board!M20</f>
        <v>5.2816845798952299</v>
      </c>
      <c r="K10" s="4">
        <f t="shared" si="2"/>
        <v>0.29403289367091567</v>
      </c>
      <c r="L10" t="s">
        <v>26</v>
      </c>
    </row>
    <row r="11" spans="1:12" x14ac:dyDescent="0.3">
      <c r="A11" t="s">
        <v>62</v>
      </c>
      <c r="B11" t="s">
        <v>27</v>
      </c>
      <c r="C11" s="3">
        <f>Board!H21</f>
        <v>0.79524886877828072</v>
      </c>
      <c r="D11" s="3">
        <f>Board!H28</f>
        <v>0.78921568627450978</v>
      </c>
      <c r="E11" s="3">
        <f t="shared" si="0"/>
        <v>-6.0331825037709397E-3</v>
      </c>
      <c r="F11" s="4">
        <f>Board!K21</f>
        <v>0.62965000106487423</v>
      </c>
      <c r="G11" s="4">
        <f>Board!K28</f>
        <v>1.6680836999967141</v>
      </c>
      <c r="H11" s="4">
        <f t="shared" si="1"/>
        <v>0.37746906888791887</v>
      </c>
      <c r="I11" s="4">
        <f>Board!M21</f>
        <v>0.92490599825396203</v>
      </c>
      <c r="J11" s="4">
        <f>Board!M28</f>
        <v>2.2176687800083528</v>
      </c>
      <c r="K11" s="4">
        <f t="shared" si="2"/>
        <v>0.41706228026102182</v>
      </c>
      <c r="L11" t="s">
        <v>53</v>
      </c>
    </row>
    <row r="12" spans="1:12" x14ac:dyDescent="0.3">
      <c r="A12" t="s">
        <v>62</v>
      </c>
      <c r="B12" t="s">
        <v>33</v>
      </c>
      <c r="C12" s="3">
        <f>Board!H22</f>
        <v>0.79374057315233781</v>
      </c>
      <c r="D12" s="3">
        <f>Board!H30</f>
        <v>0.79864253393665174</v>
      </c>
      <c r="E12" s="3">
        <f t="shared" si="0"/>
        <v>4.9019607843139301E-3</v>
      </c>
      <c r="F12" s="4">
        <f>Board!K22</f>
        <v>0.85155999840935692</v>
      </c>
      <c r="G12" s="4">
        <f>Board!K30</f>
        <v>2.7532043999826783</v>
      </c>
      <c r="H12" s="4">
        <f t="shared" si="1"/>
        <v>0.30929777622566434</v>
      </c>
      <c r="I12" s="4">
        <f>Board!M22</f>
        <v>1.1506960014230574</v>
      </c>
      <c r="J12" s="4">
        <f>Board!M30</f>
        <v>3.5996543299961559</v>
      </c>
      <c r="K12" s="4">
        <f t="shared" si="2"/>
        <v>0.31966847256255471</v>
      </c>
      <c r="L12" t="s">
        <v>53</v>
      </c>
    </row>
    <row r="13" spans="1:12" x14ac:dyDescent="0.3">
      <c r="A13" t="s">
        <v>62</v>
      </c>
      <c r="B13" t="s">
        <v>36</v>
      </c>
      <c r="C13" s="3">
        <f>Board!H23</f>
        <v>0.76923076923076916</v>
      </c>
      <c r="D13" s="3">
        <f>Board!H31</f>
        <v>0.77413273001508287</v>
      </c>
      <c r="E13" s="3">
        <f t="shared" si="0"/>
        <v>4.9019607843137081E-3</v>
      </c>
      <c r="F13" s="4">
        <f>Board!K23</f>
        <v>0.56734999889158644</v>
      </c>
      <c r="G13" s="4">
        <f>Board!K31</f>
        <v>1.3238696999906097</v>
      </c>
      <c r="H13" s="4">
        <f t="shared" si="1"/>
        <v>0.42855425945288322</v>
      </c>
      <c r="I13" s="4">
        <f>Board!M23</f>
        <v>0.84708699891052675</v>
      </c>
      <c r="J13" s="4">
        <f>Board!M31</f>
        <v>1.6322256199714502</v>
      </c>
      <c r="K13" s="4">
        <f t="shared" si="2"/>
        <v>0.51897665895315592</v>
      </c>
      <c r="L13" t="s">
        <v>53</v>
      </c>
    </row>
    <row r="14" spans="1:12" x14ac:dyDescent="0.3">
      <c r="A14" t="s">
        <v>62</v>
      </c>
      <c r="B14" t="s">
        <v>39</v>
      </c>
      <c r="C14" s="3">
        <f>Board!H24</f>
        <v>0.77714932126696834</v>
      </c>
      <c r="D14" s="3">
        <f>Board!H32</f>
        <v>0.78431372549019607</v>
      </c>
      <c r="E14" s="3">
        <f t="shared" si="0"/>
        <v>7.1644042232277272E-3</v>
      </c>
      <c r="F14" s="4">
        <f>Board!K24</f>
        <v>0.56358999863732606</v>
      </c>
      <c r="G14" s="4">
        <f>Board!K32</f>
        <v>1.3010139999778401</v>
      </c>
      <c r="H14" s="4">
        <f t="shared" si="1"/>
        <v>0.43319287774530141</v>
      </c>
      <c r="I14" s="4">
        <f>Board!M24</f>
        <v>0.85051699934410863</v>
      </c>
      <c r="J14" s="4">
        <f>Board!M32</f>
        <v>1.6669413400040867</v>
      </c>
      <c r="K14" s="4">
        <f t="shared" si="2"/>
        <v>0.51022611230100245</v>
      </c>
      <c r="L14" t="s">
        <v>53</v>
      </c>
    </row>
    <row r="15" spans="1:12" x14ac:dyDescent="0.3">
      <c r="A15" t="s">
        <v>62</v>
      </c>
      <c r="B15" t="s">
        <v>42</v>
      </c>
      <c r="C15" s="3">
        <f>Board!H25</f>
        <v>0.73152337858220218</v>
      </c>
      <c r="D15" s="3">
        <f>Board!H33</f>
        <v>0.74660633484162897</v>
      </c>
      <c r="E15" s="3">
        <f t="shared" si="0"/>
        <v>1.5082956259426794E-2</v>
      </c>
      <c r="F15" s="4">
        <f>Board!K25</f>
        <v>0.3956399996241089</v>
      </c>
      <c r="G15" s="4">
        <f>Board!K33</f>
        <v>1.1352956999417074</v>
      </c>
      <c r="H15" s="4">
        <f t="shared" si="1"/>
        <v>0.34849070567643592</v>
      </c>
      <c r="I15" s="4">
        <f>Board!M25</f>
        <v>0.62988799880258761</v>
      </c>
      <c r="J15" s="4">
        <f>Board!M33</f>
        <v>1.266157120014668</v>
      </c>
      <c r="K15" s="4">
        <f t="shared" si="2"/>
        <v>0.49748012221049676</v>
      </c>
      <c r="L15" t="s">
        <v>53</v>
      </c>
    </row>
    <row r="16" spans="1:12" x14ac:dyDescent="0.3">
      <c r="A16" t="s">
        <v>62</v>
      </c>
      <c r="B16" t="s">
        <v>45</v>
      </c>
      <c r="C16" s="3">
        <f>Board!H26</f>
        <v>0.7386877828054299</v>
      </c>
      <c r="D16" s="3">
        <f>Board!H34</f>
        <v>0.74509803921568629</v>
      </c>
      <c r="E16" s="3">
        <f t="shared" si="0"/>
        <v>6.4102564102563875E-3</v>
      </c>
      <c r="F16" s="4">
        <f>Board!K26</f>
        <v>0.39866999941295944</v>
      </c>
      <c r="G16" s="4">
        <f>Board!K34</f>
        <v>1.1323035000032176</v>
      </c>
      <c r="H16" s="4">
        <f t="shared" si="1"/>
        <v>0.35208758023959708</v>
      </c>
      <c r="I16" s="4">
        <f>Board!M26</f>
        <v>0.63236100104404636</v>
      </c>
      <c r="J16" s="4">
        <f>Board!M34</f>
        <v>1.3287990599587829</v>
      </c>
      <c r="K16" s="4">
        <f t="shared" si="2"/>
        <v>0.47588910927108957</v>
      </c>
      <c r="L16" t="s">
        <v>53</v>
      </c>
    </row>
    <row r="17" spans="1:12" x14ac:dyDescent="0.3">
      <c r="A17" t="s">
        <v>62</v>
      </c>
      <c r="B17" t="s">
        <v>48</v>
      </c>
      <c r="C17" s="3">
        <f>Board!H27</f>
        <v>0.79487179487179505</v>
      </c>
      <c r="D17" s="3">
        <f>Board!H36</f>
        <v>0.79072398190045246</v>
      </c>
      <c r="E17" s="3">
        <f t="shared" si="0"/>
        <v>-4.1478129713425904E-3</v>
      </c>
      <c r="F17" s="4">
        <f>Board!K27</f>
        <v>1.0569900026894179</v>
      </c>
      <c r="G17" s="4">
        <f>Board!K36</f>
        <v>2.5768785000082062</v>
      </c>
      <c r="H17" s="4">
        <f t="shared" si="1"/>
        <v>0.41018232046487713</v>
      </c>
      <c r="I17" s="4">
        <f>Board!M27</f>
        <v>1.4456570010952421</v>
      </c>
      <c r="J17" s="4">
        <f>Board!M36</f>
        <v>3.6866439199525303</v>
      </c>
      <c r="K17" s="4">
        <f t="shared" si="2"/>
        <v>0.39213361324948803</v>
      </c>
      <c r="L17" t="s">
        <v>26</v>
      </c>
    </row>
    <row r="19" spans="1:12" x14ac:dyDescent="0.3">
      <c r="A19" t="s">
        <v>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97"/>
  <sheetViews>
    <sheetView workbookViewId="0"/>
  </sheetViews>
  <sheetFormatPr defaultRowHeight="14.4" x14ac:dyDescent="0.3"/>
  <cols>
    <col min="1" max="6" width="12" customWidth="1"/>
  </cols>
  <sheetData>
    <row r="1" spans="1:6" x14ac:dyDescent="0.3">
      <c r="A1" s="2" t="s">
        <v>2</v>
      </c>
      <c r="B1" s="2" t="s">
        <v>3</v>
      </c>
      <c r="C1" s="2" t="s">
        <v>98</v>
      </c>
      <c r="D1" s="2" t="s">
        <v>99</v>
      </c>
      <c r="E1" s="2" t="s">
        <v>100</v>
      </c>
      <c r="F1" s="2" t="s">
        <v>101</v>
      </c>
    </row>
    <row r="2" spans="1:6" x14ac:dyDescent="0.3">
      <c r="A2" t="s">
        <v>26</v>
      </c>
      <c r="B2" t="s">
        <v>27</v>
      </c>
      <c r="C2">
        <v>0</v>
      </c>
      <c r="D2">
        <v>0.77600000000000002</v>
      </c>
      <c r="E2">
        <v>2000</v>
      </c>
      <c r="F2">
        <v>1.8272414706327102E-2</v>
      </c>
    </row>
    <row r="3" spans="1:6" x14ac:dyDescent="0.3">
      <c r="A3" t="s">
        <v>26</v>
      </c>
      <c r="B3" t="s">
        <v>33</v>
      </c>
      <c r="C3">
        <v>0</v>
      </c>
      <c r="D3">
        <v>0.78</v>
      </c>
      <c r="E3">
        <v>2000</v>
      </c>
      <c r="F3">
        <v>1.8155144725393899E-2</v>
      </c>
    </row>
    <row r="4" spans="1:6" x14ac:dyDescent="0.3">
      <c r="A4" t="s">
        <v>26</v>
      </c>
      <c r="B4" t="s">
        <v>36</v>
      </c>
      <c r="C4">
        <v>0</v>
      </c>
      <c r="D4">
        <v>0.28599999999999998</v>
      </c>
      <c r="E4">
        <v>2000</v>
      </c>
      <c r="F4">
        <v>1.98049247208869E-2</v>
      </c>
    </row>
    <row r="5" spans="1:6" x14ac:dyDescent="0.3">
      <c r="A5" t="s">
        <v>26</v>
      </c>
      <c r="B5" t="s">
        <v>39</v>
      </c>
      <c r="C5">
        <v>0</v>
      </c>
      <c r="D5">
        <v>0.26850000000000002</v>
      </c>
      <c r="E5">
        <v>2000</v>
      </c>
      <c r="F5">
        <v>1.9423182185213599E-2</v>
      </c>
    </row>
    <row r="6" spans="1:6" x14ac:dyDescent="0.3">
      <c r="A6" t="s">
        <v>26</v>
      </c>
      <c r="B6" t="s">
        <v>42</v>
      </c>
      <c r="C6">
        <v>0</v>
      </c>
      <c r="D6">
        <v>0.75049999999999994</v>
      </c>
      <c r="E6">
        <v>2000</v>
      </c>
      <c r="F6">
        <v>1.89649497705635E-2</v>
      </c>
    </row>
    <row r="7" spans="1:6" x14ac:dyDescent="0.3">
      <c r="A7" t="s">
        <v>26</v>
      </c>
      <c r="B7" t="s">
        <v>45</v>
      </c>
      <c r="C7">
        <v>0</v>
      </c>
      <c r="D7">
        <v>0.73299999999999998</v>
      </c>
      <c r="E7">
        <v>2000</v>
      </c>
      <c r="F7">
        <v>1.9388700028624899E-2</v>
      </c>
    </row>
    <row r="8" spans="1:6" x14ac:dyDescent="0.3">
      <c r="A8" t="s">
        <v>26</v>
      </c>
      <c r="B8" t="s">
        <v>48</v>
      </c>
      <c r="C8">
        <v>0</v>
      </c>
      <c r="D8">
        <v>0.77649999999999997</v>
      </c>
      <c r="E8">
        <v>2000</v>
      </c>
      <c r="F8">
        <v>1.8257889204395999E-2</v>
      </c>
    </row>
    <row r="9" spans="1:6" x14ac:dyDescent="0.3">
      <c r="A9" t="s">
        <v>26</v>
      </c>
      <c r="B9" t="s">
        <v>27</v>
      </c>
      <c r="C9">
        <v>1</v>
      </c>
      <c r="D9">
        <v>0.79149999999999998</v>
      </c>
      <c r="E9">
        <v>2000</v>
      </c>
      <c r="F9">
        <v>1.7804081054634598E-2</v>
      </c>
    </row>
    <row r="10" spans="1:6" x14ac:dyDescent="0.3">
      <c r="A10" t="s">
        <v>26</v>
      </c>
      <c r="B10" t="s">
        <v>33</v>
      </c>
      <c r="C10">
        <v>1</v>
      </c>
      <c r="D10">
        <v>0.79100000000000004</v>
      </c>
      <c r="E10">
        <v>2000</v>
      </c>
      <c r="F10">
        <v>1.7819784936973799E-2</v>
      </c>
    </row>
    <row r="11" spans="1:6" x14ac:dyDescent="0.3">
      <c r="A11" t="s">
        <v>26</v>
      </c>
      <c r="B11" t="s">
        <v>36</v>
      </c>
      <c r="C11">
        <v>1</v>
      </c>
      <c r="D11">
        <v>0.29199999999999998</v>
      </c>
      <c r="E11">
        <v>2000</v>
      </c>
      <c r="F11">
        <v>1.9927330699318398E-2</v>
      </c>
    </row>
    <row r="12" spans="1:6" x14ac:dyDescent="0.3">
      <c r="A12" t="s">
        <v>26</v>
      </c>
      <c r="B12" t="s">
        <v>39</v>
      </c>
      <c r="C12">
        <v>1</v>
      </c>
      <c r="D12">
        <v>0.28000000000000003</v>
      </c>
      <c r="E12">
        <v>2000</v>
      </c>
      <c r="F12">
        <v>1.9678243824081398E-2</v>
      </c>
    </row>
    <row r="13" spans="1:6" x14ac:dyDescent="0.3">
      <c r="A13" t="s">
        <v>26</v>
      </c>
      <c r="B13" t="s">
        <v>42</v>
      </c>
      <c r="C13">
        <v>1</v>
      </c>
      <c r="D13">
        <v>0.76800000000000002</v>
      </c>
      <c r="E13">
        <v>2000</v>
      </c>
      <c r="F13">
        <v>1.8499742181987199E-2</v>
      </c>
    </row>
    <row r="14" spans="1:6" x14ac:dyDescent="0.3">
      <c r="A14" t="s">
        <v>26</v>
      </c>
      <c r="B14" t="s">
        <v>45</v>
      </c>
      <c r="C14">
        <v>1</v>
      </c>
      <c r="D14">
        <v>0.74450000000000005</v>
      </c>
      <c r="E14">
        <v>2000</v>
      </c>
      <c r="F14">
        <v>1.9114761201751901E-2</v>
      </c>
    </row>
    <row r="15" spans="1:6" x14ac:dyDescent="0.3">
      <c r="A15" t="s">
        <v>26</v>
      </c>
      <c r="B15" t="s">
        <v>48</v>
      </c>
      <c r="C15">
        <v>1</v>
      </c>
      <c r="D15">
        <v>0.79200000000000004</v>
      </c>
      <c r="E15">
        <v>2000</v>
      </c>
      <c r="F15">
        <v>1.77883363134386E-2</v>
      </c>
    </row>
    <row r="16" spans="1:6" x14ac:dyDescent="0.3">
      <c r="A16" t="s">
        <v>26</v>
      </c>
      <c r="B16" t="s">
        <v>27</v>
      </c>
      <c r="C16">
        <v>2</v>
      </c>
      <c r="D16">
        <v>0.80100000000000005</v>
      </c>
      <c r="E16">
        <v>2000</v>
      </c>
      <c r="F16">
        <v>1.7497816983841102E-2</v>
      </c>
    </row>
    <row r="17" spans="1:6" x14ac:dyDescent="0.3">
      <c r="A17" t="s">
        <v>26</v>
      </c>
      <c r="B17" t="s">
        <v>33</v>
      </c>
      <c r="C17">
        <v>2</v>
      </c>
      <c r="D17">
        <v>0.80500000000000005</v>
      </c>
      <c r="E17">
        <v>2000</v>
      </c>
      <c r="F17">
        <v>1.7364261573703601E-2</v>
      </c>
    </row>
    <row r="18" spans="1:6" x14ac:dyDescent="0.3">
      <c r="A18" t="s">
        <v>26</v>
      </c>
      <c r="B18" t="s">
        <v>36</v>
      </c>
      <c r="C18">
        <v>2</v>
      </c>
      <c r="D18">
        <v>0.30299999999999999</v>
      </c>
      <c r="E18">
        <v>2000</v>
      </c>
      <c r="F18">
        <v>2.0140895531231901E-2</v>
      </c>
    </row>
    <row r="19" spans="1:6" x14ac:dyDescent="0.3">
      <c r="A19" t="s">
        <v>26</v>
      </c>
      <c r="B19" t="s">
        <v>39</v>
      </c>
      <c r="C19">
        <v>2</v>
      </c>
      <c r="D19">
        <v>0.29599999999999999</v>
      </c>
      <c r="E19">
        <v>2000</v>
      </c>
      <c r="F19">
        <v>2.0006598591464701E-2</v>
      </c>
    </row>
    <row r="20" spans="1:6" x14ac:dyDescent="0.3">
      <c r="A20" t="s">
        <v>26</v>
      </c>
      <c r="B20" t="s">
        <v>42</v>
      </c>
      <c r="C20">
        <v>2</v>
      </c>
      <c r="D20">
        <v>0.755</v>
      </c>
      <c r="E20">
        <v>2000</v>
      </c>
      <c r="F20">
        <v>1.8849402643054701E-2</v>
      </c>
    </row>
    <row r="21" spans="1:6" x14ac:dyDescent="0.3">
      <c r="A21" t="s">
        <v>26</v>
      </c>
      <c r="B21" t="s">
        <v>45</v>
      </c>
      <c r="C21">
        <v>2</v>
      </c>
      <c r="D21">
        <v>0.73550000000000004</v>
      </c>
      <c r="E21">
        <v>2000</v>
      </c>
      <c r="F21">
        <v>1.9330596260850302E-2</v>
      </c>
    </row>
    <row r="22" spans="1:6" x14ac:dyDescent="0.3">
      <c r="A22" t="s">
        <v>26</v>
      </c>
      <c r="B22" t="s">
        <v>48</v>
      </c>
      <c r="C22">
        <v>2</v>
      </c>
      <c r="D22">
        <v>0.80249999999999999</v>
      </c>
      <c r="E22">
        <v>2000</v>
      </c>
      <c r="F22">
        <v>1.7448059920804899E-2</v>
      </c>
    </row>
    <row r="23" spans="1:6" x14ac:dyDescent="0.3">
      <c r="A23" t="s">
        <v>52</v>
      </c>
      <c r="B23" t="s">
        <v>27</v>
      </c>
      <c r="C23">
        <v>0</v>
      </c>
      <c r="D23">
        <v>0.77749999999999997</v>
      </c>
      <c r="E23">
        <v>2000</v>
      </c>
      <c r="F23">
        <v>1.8228724447969399E-2</v>
      </c>
    </row>
    <row r="24" spans="1:6" x14ac:dyDescent="0.3">
      <c r="A24" t="s">
        <v>52</v>
      </c>
      <c r="B24" t="s">
        <v>54</v>
      </c>
      <c r="C24">
        <v>0</v>
      </c>
      <c r="D24">
        <v>0.77749999999999997</v>
      </c>
      <c r="E24">
        <v>2000</v>
      </c>
      <c r="F24">
        <v>1.8228724447969399E-2</v>
      </c>
    </row>
    <row r="25" spans="1:6" x14ac:dyDescent="0.3">
      <c r="A25" t="s">
        <v>52</v>
      </c>
      <c r="B25" t="s">
        <v>33</v>
      </c>
      <c r="C25">
        <v>0</v>
      </c>
      <c r="D25">
        <v>0.77949999999999997</v>
      </c>
      <c r="E25">
        <v>2000</v>
      </c>
      <c r="F25">
        <v>1.8169937363678501E-2</v>
      </c>
    </row>
    <row r="26" spans="1:6" x14ac:dyDescent="0.3">
      <c r="A26" t="s">
        <v>52</v>
      </c>
      <c r="B26" t="s">
        <v>36</v>
      </c>
      <c r="C26">
        <v>0</v>
      </c>
      <c r="D26">
        <v>0.28599999999999998</v>
      </c>
      <c r="E26">
        <v>2000</v>
      </c>
      <c r="F26">
        <v>1.98049247208869E-2</v>
      </c>
    </row>
    <row r="27" spans="1:6" x14ac:dyDescent="0.3">
      <c r="A27" t="s">
        <v>52</v>
      </c>
      <c r="B27" t="s">
        <v>39</v>
      </c>
      <c r="C27">
        <v>0</v>
      </c>
      <c r="D27">
        <v>0.27150000000000002</v>
      </c>
      <c r="E27">
        <v>2000</v>
      </c>
      <c r="F27">
        <v>1.9491298320019598E-2</v>
      </c>
    </row>
    <row r="28" spans="1:6" x14ac:dyDescent="0.3">
      <c r="A28" t="s">
        <v>52</v>
      </c>
      <c r="B28" t="s">
        <v>42</v>
      </c>
      <c r="C28">
        <v>0</v>
      </c>
      <c r="D28">
        <v>0.73699999999999999</v>
      </c>
      <c r="E28">
        <v>2000</v>
      </c>
      <c r="F28">
        <v>1.92953513779873E-2</v>
      </c>
    </row>
    <row r="29" spans="1:6" x14ac:dyDescent="0.3">
      <c r="A29" t="s">
        <v>52</v>
      </c>
      <c r="B29" t="s">
        <v>45</v>
      </c>
      <c r="C29">
        <v>0</v>
      </c>
      <c r="D29">
        <v>0.72899999999999998</v>
      </c>
      <c r="E29">
        <v>2000</v>
      </c>
      <c r="F29">
        <v>1.9480023798753399E-2</v>
      </c>
    </row>
    <row r="30" spans="1:6" x14ac:dyDescent="0.3">
      <c r="A30" t="s">
        <v>52</v>
      </c>
      <c r="B30" t="s">
        <v>58</v>
      </c>
      <c r="C30">
        <v>0</v>
      </c>
      <c r="D30">
        <v>0.77749999999999997</v>
      </c>
      <c r="E30">
        <v>2000</v>
      </c>
      <c r="F30">
        <v>1.8228724447969399E-2</v>
      </c>
    </row>
    <row r="31" spans="1:6" x14ac:dyDescent="0.3">
      <c r="A31" t="s">
        <v>52</v>
      </c>
      <c r="B31" t="s">
        <v>48</v>
      </c>
      <c r="C31">
        <v>0</v>
      </c>
      <c r="D31">
        <v>0.77800000000000002</v>
      </c>
      <c r="E31">
        <v>2000</v>
      </c>
      <c r="F31">
        <v>1.8214085011331201E-2</v>
      </c>
    </row>
    <row r="32" spans="1:6" x14ac:dyDescent="0.3">
      <c r="A32" t="s">
        <v>52</v>
      </c>
      <c r="B32" t="s">
        <v>27</v>
      </c>
      <c r="C32">
        <v>1</v>
      </c>
      <c r="D32">
        <v>0.79549999999999998</v>
      </c>
      <c r="E32">
        <v>2000</v>
      </c>
      <c r="F32">
        <v>1.7676969870427401E-2</v>
      </c>
    </row>
    <row r="33" spans="1:6" x14ac:dyDescent="0.3">
      <c r="A33" t="s">
        <v>52</v>
      </c>
      <c r="B33" t="s">
        <v>54</v>
      </c>
      <c r="C33">
        <v>1</v>
      </c>
      <c r="D33">
        <v>0.79500000000000004</v>
      </c>
      <c r="E33">
        <v>2000</v>
      </c>
      <c r="F33">
        <v>1.7693003702028601E-2</v>
      </c>
    </row>
    <row r="34" spans="1:6" x14ac:dyDescent="0.3">
      <c r="A34" t="s">
        <v>52</v>
      </c>
      <c r="B34" t="s">
        <v>33</v>
      </c>
      <c r="C34">
        <v>1</v>
      </c>
      <c r="D34">
        <v>0.79400000000000004</v>
      </c>
      <c r="E34">
        <v>2000</v>
      </c>
      <c r="F34">
        <v>1.7724946578198699E-2</v>
      </c>
    </row>
    <row r="35" spans="1:6" x14ac:dyDescent="0.3">
      <c r="A35" t="s">
        <v>52</v>
      </c>
      <c r="B35" t="s">
        <v>36</v>
      </c>
      <c r="C35">
        <v>1</v>
      </c>
      <c r="D35">
        <v>0.29199999999999998</v>
      </c>
      <c r="E35">
        <v>2000</v>
      </c>
      <c r="F35">
        <v>1.9927330699318398E-2</v>
      </c>
    </row>
    <row r="36" spans="1:6" x14ac:dyDescent="0.3">
      <c r="A36" t="s">
        <v>52</v>
      </c>
      <c r="B36" t="s">
        <v>39</v>
      </c>
      <c r="C36">
        <v>1</v>
      </c>
      <c r="D36">
        <v>0.27650000000000002</v>
      </c>
      <c r="E36">
        <v>2000</v>
      </c>
      <c r="F36">
        <v>1.9602339610362798E-2</v>
      </c>
    </row>
    <row r="37" spans="1:6" x14ac:dyDescent="0.3">
      <c r="A37" t="s">
        <v>52</v>
      </c>
      <c r="B37" t="s">
        <v>42</v>
      </c>
      <c r="C37">
        <v>1</v>
      </c>
      <c r="D37">
        <v>0.76600000000000001</v>
      </c>
      <c r="E37">
        <v>2000</v>
      </c>
      <c r="F37">
        <v>1.8555103750720399E-2</v>
      </c>
    </row>
    <row r="38" spans="1:6" x14ac:dyDescent="0.3">
      <c r="A38" t="s">
        <v>52</v>
      </c>
      <c r="B38" t="s">
        <v>45</v>
      </c>
      <c r="C38">
        <v>1</v>
      </c>
      <c r="D38">
        <v>0.74350000000000005</v>
      </c>
      <c r="E38">
        <v>2000</v>
      </c>
      <c r="F38">
        <v>1.9139264515649498E-2</v>
      </c>
    </row>
    <row r="39" spans="1:6" x14ac:dyDescent="0.3">
      <c r="A39" t="s">
        <v>52</v>
      </c>
      <c r="B39" t="s">
        <v>58</v>
      </c>
      <c r="C39">
        <v>1</v>
      </c>
      <c r="D39">
        <v>0.79549999999999998</v>
      </c>
      <c r="E39">
        <v>2000</v>
      </c>
      <c r="F39">
        <v>1.7676969870427401E-2</v>
      </c>
    </row>
    <row r="40" spans="1:6" x14ac:dyDescent="0.3">
      <c r="A40" t="s">
        <v>52</v>
      </c>
      <c r="B40" t="s">
        <v>48</v>
      </c>
      <c r="C40">
        <v>1</v>
      </c>
      <c r="D40">
        <v>0.79349999999999998</v>
      </c>
      <c r="E40">
        <v>2000</v>
      </c>
      <c r="F40">
        <v>1.7740855847449898E-2</v>
      </c>
    </row>
    <row r="41" spans="1:6" x14ac:dyDescent="0.3">
      <c r="A41" t="s">
        <v>52</v>
      </c>
      <c r="B41" t="s">
        <v>27</v>
      </c>
      <c r="C41">
        <v>2</v>
      </c>
      <c r="D41">
        <v>0.80500000000000005</v>
      </c>
      <c r="E41">
        <v>2000</v>
      </c>
      <c r="F41">
        <v>1.7364261573703601E-2</v>
      </c>
    </row>
    <row r="42" spans="1:6" x14ac:dyDescent="0.3">
      <c r="A42" t="s">
        <v>52</v>
      </c>
      <c r="B42" t="s">
        <v>54</v>
      </c>
      <c r="C42">
        <v>2</v>
      </c>
      <c r="D42">
        <v>0.80300000000000005</v>
      </c>
      <c r="E42">
        <v>2000</v>
      </c>
      <c r="F42">
        <v>1.74313875752907E-2</v>
      </c>
    </row>
    <row r="43" spans="1:6" x14ac:dyDescent="0.3">
      <c r="A43" t="s">
        <v>52</v>
      </c>
      <c r="B43" t="s">
        <v>33</v>
      </c>
      <c r="C43">
        <v>2</v>
      </c>
      <c r="D43">
        <v>0.80549999999999999</v>
      </c>
      <c r="E43">
        <v>2000</v>
      </c>
      <c r="F43">
        <v>1.73473702848587E-2</v>
      </c>
    </row>
    <row r="44" spans="1:6" x14ac:dyDescent="0.3">
      <c r="A44" t="s">
        <v>52</v>
      </c>
      <c r="B44" t="s">
        <v>36</v>
      </c>
      <c r="C44">
        <v>2</v>
      </c>
      <c r="D44">
        <v>0.30299999999999999</v>
      </c>
      <c r="E44">
        <v>2000</v>
      </c>
      <c r="F44">
        <v>2.0140895531231901E-2</v>
      </c>
    </row>
    <row r="45" spans="1:6" x14ac:dyDescent="0.3">
      <c r="A45" t="s">
        <v>52</v>
      </c>
      <c r="B45" t="s">
        <v>39</v>
      </c>
      <c r="C45">
        <v>2</v>
      </c>
      <c r="D45">
        <v>0.27550000000000002</v>
      </c>
      <c r="E45">
        <v>2000</v>
      </c>
      <c r="F45">
        <v>1.95803779279154E-2</v>
      </c>
    </row>
    <row r="46" spans="1:6" x14ac:dyDescent="0.3">
      <c r="A46" t="s">
        <v>52</v>
      </c>
      <c r="B46" t="s">
        <v>42</v>
      </c>
      <c r="C46">
        <v>2</v>
      </c>
      <c r="D46">
        <v>0.755</v>
      </c>
      <c r="E46">
        <v>2000</v>
      </c>
      <c r="F46">
        <v>1.8849402643054701E-2</v>
      </c>
    </row>
    <row r="47" spans="1:6" x14ac:dyDescent="0.3">
      <c r="A47" t="s">
        <v>52</v>
      </c>
      <c r="B47" t="s">
        <v>45</v>
      </c>
      <c r="C47">
        <v>2</v>
      </c>
      <c r="D47">
        <v>0.73499999999999999</v>
      </c>
      <c r="E47">
        <v>2000</v>
      </c>
      <c r="F47">
        <v>1.9342280630783901E-2</v>
      </c>
    </row>
    <row r="48" spans="1:6" x14ac:dyDescent="0.3">
      <c r="A48" t="s">
        <v>52</v>
      </c>
      <c r="B48" t="s">
        <v>58</v>
      </c>
      <c r="C48">
        <v>2</v>
      </c>
      <c r="D48">
        <v>0.80500000000000005</v>
      </c>
      <c r="E48">
        <v>2000</v>
      </c>
      <c r="F48">
        <v>1.7364261573703601E-2</v>
      </c>
    </row>
    <row r="49" spans="1:6" x14ac:dyDescent="0.3">
      <c r="A49" t="s">
        <v>52</v>
      </c>
      <c r="B49" t="s">
        <v>48</v>
      </c>
      <c r="C49">
        <v>2</v>
      </c>
      <c r="D49">
        <v>0.80449999999999999</v>
      </c>
      <c r="E49">
        <v>2000</v>
      </c>
      <c r="F49">
        <v>1.7381108819635099E-2</v>
      </c>
    </row>
    <row r="50" spans="1:6" x14ac:dyDescent="0.3">
      <c r="A50" t="s">
        <v>61</v>
      </c>
      <c r="B50" t="s">
        <v>27</v>
      </c>
      <c r="C50">
        <v>0</v>
      </c>
      <c r="D50">
        <v>0.78619909502262442</v>
      </c>
      <c r="E50">
        <v>884</v>
      </c>
      <c r="F50">
        <v>2.7027195196263801E-2</v>
      </c>
    </row>
    <row r="51" spans="1:6" x14ac:dyDescent="0.3">
      <c r="A51" t="s">
        <v>61</v>
      </c>
      <c r="B51" t="s">
        <v>33</v>
      </c>
      <c r="C51">
        <v>0</v>
      </c>
      <c r="D51">
        <v>0.79411764705882348</v>
      </c>
      <c r="E51">
        <v>884</v>
      </c>
      <c r="F51">
        <v>2.66551986749737E-2</v>
      </c>
    </row>
    <row r="52" spans="1:6" x14ac:dyDescent="0.3">
      <c r="A52" t="s">
        <v>61</v>
      </c>
      <c r="B52" t="s">
        <v>36</v>
      </c>
      <c r="C52">
        <v>0</v>
      </c>
      <c r="D52">
        <v>0.77375565610859731</v>
      </c>
      <c r="E52">
        <v>884</v>
      </c>
      <c r="F52">
        <v>2.7581680445108E-2</v>
      </c>
    </row>
    <row r="53" spans="1:6" x14ac:dyDescent="0.3">
      <c r="A53" t="s">
        <v>61</v>
      </c>
      <c r="B53" t="s">
        <v>39</v>
      </c>
      <c r="C53">
        <v>0</v>
      </c>
      <c r="D53">
        <v>0.76583710407239824</v>
      </c>
      <c r="E53">
        <v>884</v>
      </c>
      <c r="F53">
        <v>2.7916256554858299E-2</v>
      </c>
    </row>
    <row r="54" spans="1:6" x14ac:dyDescent="0.3">
      <c r="A54" t="s">
        <v>61</v>
      </c>
      <c r="B54" t="s">
        <v>42</v>
      </c>
      <c r="C54">
        <v>0</v>
      </c>
      <c r="D54">
        <v>0.73416289592760176</v>
      </c>
      <c r="E54">
        <v>884</v>
      </c>
      <c r="F54">
        <v>2.91228553665746E-2</v>
      </c>
    </row>
    <row r="55" spans="1:6" x14ac:dyDescent="0.3">
      <c r="A55" t="s">
        <v>61</v>
      </c>
      <c r="B55" t="s">
        <v>45</v>
      </c>
      <c r="C55">
        <v>0</v>
      </c>
      <c r="D55">
        <v>0.73755656108597289</v>
      </c>
      <c r="E55">
        <v>884</v>
      </c>
      <c r="F55">
        <v>2.90031697304798E-2</v>
      </c>
    </row>
    <row r="56" spans="1:6" x14ac:dyDescent="0.3">
      <c r="A56" t="s">
        <v>61</v>
      </c>
      <c r="B56" t="s">
        <v>48</v>
      </c>
      <c r="C56">
        <v>0</v>
      </c>
      <c r="D56">
        <v>0.78280542986425339</v>
      </c>
      <c r="E56">
        <v>884</v>
      </c>
      <c r="F56">
        <v>2.71819954485829E-2</v>
      </c>
    </row>
    <row r="57" spans="1:6" x14ac:dyDescent="0.3">
      <c r="A57" t="s">
        <v>61</v>
      </c>
      <c r="B57" t="s">
        <v>27</v>
      </c>
      <c r="C57">
        <v>1</v>
      </c>
      <c r="D57">
        <v>0.80090497737556565</v>
      </c>
      <c r="E57">
        <v>884</v>
      </c>
      <c r="F57">
        <v>2.63239245039334E-2</v>
      </c>
    </row>
    <row r="58" spans="1:6" x14ac:dyDescent="0.3">
      <c r="A58" t="s">
        <v>61</v>
      </c>
      <c r="B58" t="s">
        <v>33</v>
      </c>
      <c r="C58">
        <v>1</v>
      </c>
      <c r="D58">
        <v>0.80542986425339369</v>
      </c>
      <c r="E58">
        <v>884</v>
      </c>
      <c r="F58">
        <v>2.6096477730852899E-2</v>
      </c>
    </row>
    <row r="59" spans="1:6" x14ac:dyDescent="0.3">
      <c r="A59" t="s">
        <v>61</v>
      </c>
      <c r="B59" t="s">
        <v>36</v>
      </c>
      <c r="C59">
        <v>1</v>
      </c>
      <c r="D59">
        <v>0.75226244343891402</v>
      </c>
      <c r="E59">
        <v>884</v>
      </c>
      <c r="F59">
        <v>2.8458404885682301E-2</v>
      </c>
    </row>
    <row r="60" spans="1:6" x14ac:dyDescent="0.3">
      <c r="A60" t="s">
        <v>61</v>
      </c>
      <c r="B60" t="s">
        <v>39</v>
      </c>
      <c r="C60">
        <v>1</v>
      </c>
      <c r="D60">
        <v>0.77941176470588236</v>
      </c>
      <c r="E60">
        <v>884</v>
      </c>
      <c r="F60">
        <v>2.7334088139012998E-2</v>
      </c>
    </row>
    <row r="61" spans="1:6" x14ac:dyDescent="0.3">
      <c r="A61" t="s">
        <v>61</v>
      </c>
      <c r="B61" t="s">
        <v>42</v>
      </c>
      <c r="C61">
        <v>1</v>
      </c>
      <c r="D61">
        <v>0.72398190045248867</v>
      </c>
      <c r="E61">
        <v>884</v>
      </c>
      <c r="F61">
        <v>2.9468808326311699E-2</v>
      </c>
    </row>
    <row r="62" spans="1:6" x14ac:dyDescent="0.3">
      <c r="A62" t="s">
        <v>61</v>
      </c>
      <c r="B62" t="s">
        <v>45</v>
      </c>
      <c r="C62">
        <v>1</v>
      </c>
      <c r="D62">
        <v>0.73303167420814475</v>
      </c>
      <c r="E62">
        <v>884</v>
      </c>
      <c r="F62">
        <v>2.9162260040549001E-2</v>
      </c>
    </row>
    <row r="63" spans="1:6" x14ac:dyDescent="0.3">
      <c r="A63" t="s">
        <v>61</v>
      </c>
      <c r="B63" t="s">
        <v>48</v>
      </c>
      <c r="C63">
        <v>1</v>
      </c>
      <c r="D63">
        <v>0.80203619909502266</v>
      </c>
      <c r="E63">
        <v>884</v>
      </c>
      <c r="F63">
        <v>2.62675650099134E-2</v>
      </c>
    </row>
    <row r="64" spans="1:6" x14ac:dyDescent="0.3">
      <c r="A64" t="s">
        <v>61</v>
      </c>
      <c r="B64" t="s">
        <v>27</v>
      </c>
      <c r="C64">
        <v>2</v>
      </c>
      <c r="D64">
        <v>0.79864253393665163</v>
      </c>
      <c r="E64">
        <v>884</v>
      </c>
      <c r="F64">
        <v>2.6435651960522302E-2</v>
      </c>
    </row>
    <row r="65" spans="1:6" x14ac:dyDescent="0.3">
      <c r="A65" t="s">
        <v>61</v>
      </c>
      <c r="B65" t="s">
        <v>33</v>
      </c>
      <c r="C65">
        <v>2</v>
      </c>
      <c r="D65">
        <v>0.78167420814479638</v>
      </c>
      <c r="E65">
        <v>884</v>
      </c>
      <c r="F65">
        <v>2.7232991595448602E-2</v>
      </c>
    </row>
    <row r="66" spans="1:6" x14ac:dyDescent="0.3">
      <c r="A66" t="s">
        <v>61</v>
      </c>
      <c r="B66" t="s">
        <v>36</v>
      </c>
      <c r="C66">
        <v>2</v>
      </c>
      <c r="D66">
        <v>0.78167420814479638</v>
      </c>
      <c r="E66">
        <v>884</v>
      </c>
      <c r="F66">
        <v>2.7232991595448602E-2</v>
      </c>
    </row>
    <row r="67" spans="1:6" x14ac:dyDescent="0.3">
      <c r="A67" t="s">
        <v>61</v>
      </c>
      <c r="B67" t="s">
        <v>39</v>
      </c>
      <c r="C67">
        <v>2</v>
      </c>
      <c r="D67">
        <v>0.78619909502262442</v>
      </c>
      <c r="E67">
        <v>884</v>
      </c>
      <c r="F67">
        <v>2.7027195196263801E-2</v>
      </c>
    </row>
    <row r="68" spans="1:6" x14ac:dyDescent="0.3">
      <c r="A68" t="s">
        <v>61</v>
      </c>
      <c r="B68" t="s">
        <v>42</v>
      </c>
      <c r="C68">
        <v>2</v>
      </c>
      <c r="D68">
        <v>0.73642533936651589</v>
      </c>
      <c r="E68">
        <v>884</v>
      </c>
      <c r="F68">
        <v>2.90433112191711E-2</v>
      </c>
    </row>
    <row r="69" spans="1:6" x14ac:dyDescent="0.3">
      <c r="A69" t="s">
        <v>61</v>
      </c>
      <c r="B69" t="s">
        <v>45</v>
      </c>
      <c r="C69">
        <v>2</v>
      </c>
      <c r="D69">
        <v>0.74547511312217196</v>
      </c>
      <c r="E69">
        <v>884</v>
      </c>
      <c r="F69">
        <v>2.8715186427151901E-2</v>
      </c>
    </row>
    <row r="70" spans="1:6" x14ac:dyDescent="0.3">
      <c r="A70" t="s">
        <v>61</v>
      </c>
      <c r="B70" t="s">
        <v>48</v>
      </c>
      <c r="C70">
        <v>2</v>
      </c>
      <c r="D70">
        <v>0.79977375565610864</v>
      </c>
      <c r="E70">
        <v>884</v>
      </c>
      <c r="F70">
        <v>2.6379952785491E-2</v>
      </c>
    </row>
    <row r="71" spans="1:6" x14ac:dyDescent="0.3">
      <c r="A71" t="s">
        <v>63</v>
      </c>
      <c r="B71" t="s">
        <v>27</v>
      </c>
      <c r="C71">
        <v>0</v>
      </c>
      <c r="D71">
        <v>0.78959276018099545</v>
      </c>
      <c r="E71">
        <v>884</v>
      </c>
      <c r="F71">
        <v>2.6869640586018598E-2</v>
      </c>
    </row>
    <row r="72" spans="1:6" x14ac:dyDescent="0.3">
      <c r="A72" t="s">
        <v>63</v>
      </c>
      <c r="B72" t="s">
        <v>54</v>
      </c>
      <c r="C72">
        <v>0</v>
      </c>
      <c r="D72">
        <v>0.78959276018099545</v>
      </c>
      <c r="E72">
        <v>884</v>
      </c>
      <c r="F72">
        <v>2.6869640586018598E-2</v>
      </c>
    </row>
    <row r="73" spans="1:6" x14ac:dyDescent="0.3">
      <c r="A73" t="s">
        <v>63</v>
      </c>
      <c r="B73" t="s">
        <v>33</v>
      </c>
      <c r="C73">
        <v>0</v>
      </c>
      <c r="D73">
        <v>0.79864253393665163</v>
      </c>
      <c r="E73">
        <v>884</v>
      </c>
      <c r="F73">
        <v>2.6435651960522302E-2</v>
      </c>
    </row>
    <row r="74" spans="1:6" x14ac:dyDescent="0.3">
      <c r="A74" t="s">
        <v>63</v>
      </c>
      <c r="B74" t="s">
        <v>36</v>
      </c>
      <c r="C74">
        <v>0</v>
      </c>
      <c r="D74">
        <v>0.7613122171945701</v>
      </c>
      <c r="E74">
        <v>884</v>
      </c>
      <c r="F74">
        <v>2.8101301439171899E-2</v>
      </c>
    </row>
    <row r="75" spans="1:6" x14ac:dyDescent="0.3">
      <c r="A75" t="s">
        <v>63</v>
      </c>
      <c r="B75" t="s">
        <v>39</v>
      </c>
      <c r="C75">
        <v>0</v>
      </c>
      <c r="D75">
        <v>0.77601809954751133</v>
      </c>
      <c r="E75">
        <v>884</v>
      </c>
      <c r="F75">
        <v>2.7483518218208401E-2</v>
      </c>
    </row>
    <row r="76" spans="1:6" x14ac:dyDescent="0.3">
      <c r="A76" t="s">
        <v>63</v>
      </c>
      <c r="B76" t="s">
        <v>42</v>
      </c>
      <c r="C76">
        <v>0</v>
      </c>
      <c r="D76">
        <v>0.74434389140271495</v>
      </c>
      <c r="E76">
        <v>884</v>
      </c>
      <c r="F76">
        <v>2.8757083616812801E-2</v>
      </c>
    </row>
    <row r="77" spans="1:6" x14ac:dyDescent="0.3">
      <c r="A77" t="s">
        <v>63</v>
      </c>
      <c r="B77" t="s">
        <v>45</v>
      </c>
      <c r="C77">
        <v>0</v>
      </c>
      <c r="D77">
        <v>0.73642533936651589</v>
      </c>
      <c r="E77">
        <v>884</v>
      </c>
      <c r="F77">
        <v>2.90433112191711E-2</v>
      </c>
    </row>
    <row r="78" spans="1:6" x14ac:dyDescent="0.3">
      <c r="A78" t="s">
        <v>63</v>
      </c>
      <c r="B78" t="s">
        <v>58</v>
      </c>
      <c r="C78">
        <v>0</v>
      </c>
      <c r="D78">
        <v>0.78959276018099545</v>
      </c>
      <c r="E78">
        <v>884</v>
      </c>
      <c r="F78">
        <v>2.6869640586018598E-2</v>
      </c>
    </row>
    <row r="79" spans="1:6" x14ac:dyDescent="0.3">
      <c r="A79" t="s">
        <v>63</v>
      </c>
      <c r="B79" t="s">
        <v>48</v>
      </c>
      <c r="C79">
        <v>0</v>
      </c>
      <c r="D79">
        <v>0.78959276018099545</v>
      </c>
      <c r="E79">
        <v>884</v>
      </c>
      <c r="F79">
        <v>2.6869640586018598E-2</v>
      </c>
    </row>
    <row r="80" spans="1:6" x14ac:dyDescent="0.3">
      <c r="A80" t="s">
        <v>63</v>
      </c>
      <c r="B80" t="s">
        <v>27</v>
      </c>
      <c r="C80">
        <v>1</v>
      </c>
      <c r="D80">
        <v>0.78733031674208143</v>
      </c>
      <c r="E80">
        <v>884</v>
      </c>
      <c r="F80">
        <v>2.69749853986005E-2</v>
      </c>
    </row>
    <row r="81" spans="1:6" x14ac:dyDescent="0.3">
      <c r="A81" t="s">
        <v>63</v>
      </c>
      <c r="B81" t="s">
        <v>54</v>
      </c>
      <c r="C81">
        <v>1</v>
      </c>
      <c r="D81">
        <v>0.78733031674208143</v>
      </c>
      <c r="E81">
        <v>884</v>
      </c>
      <c r="F81">
        <v>2.69749853986005E-2</v>
      </c>
    </row>
    <row r="82" spans="1:6" x14ac:dyDescent="0.3">
      <c r="A82" t="s">
        <v>63</v>
      </c>
      <c r="B82" t="s">
        <v>33</v>
      </c>
      <c r="C82">
        <v>1</v>
      </c>
      <c r="D82">
        <v>0.79977375565610864</v>
      </c>
      <c r="E82">
        <v>884</v>
      </c>
      <c r="F82">
        <v>2.6379952785491E-2</v>
      </c>
    </row>
    <row r="83" spans="1:6" x14ac:dyDescent="0.3">
      <c r="A83" t="s">
        <v>63</v>
      </c>
      <c r="B83" t="s">
        <v>36</v>
      </c>
      <c r="C83">
        <v>1</v>
      </c>
      <c r="D83">
        <v>0.78733031674208143</v>
      </c>
      <c r="E83">
        <v>884</v>
      </c>
      <c r="F83">
        <v>2.69749853986005E-2</v>
      </c>
    </row>
    <row r="84" spans="1:6" x14ac:dyDescent="0.3">
      <c r="A84" t="s">
        <v>63</v>
      </c>
      <c r="B84" t="s">
        <v>39</v>
      </c>
      <c r="C84">
        <v>1</v>
      </c>
      <c r="D84">
        <v>0.78959276018099545</v>
      </c>
      <c r="E84">
        <v>884</v>
      </c>
      <c r="F84">
        <v>2.6869640586018598E-2</v>
      </c>
    </row>
    <row r="85" spans="1:6" x14ac:dyDescent="0.3">
      <c r="A85" t="s">
        <v>63</v>
      </c>
      <c r="B85" t="s">
        <v>42</v>
      </c>
      <c r="C85">
        <v>1</v>
      </c>
      <c r="D85">
        <v>0.75339366515837103</v>
      </c>
      <c r="E85">
        <v>884</v>
      </c>
      <c r="F85">
        <v>2.8414697387082698E-2</v>
      </c>
    </row>
    <row r="86" spans="1:6" x14ac:dyDescent="0.3">
      <c r="A86" t="s">
        <v>63</v>
      </c>
      <c r="B86" t="s">
        <v>45</v>
      </c>
      <c r="C86">
        <v>1</v>
      </c>
      <c r="D86">
        <v>0.75904977375565608</v>
      </c>
      <c r="E86">
        <v>884</v>
      </c>
      <c r="F86">
        <v>2.8192184936035401E-2</v>
      </c>
    </row>
    <row r="87" spans="1:6" x14ac:dyDescent="0.3">
      <c r="A87" t="s">
        <v>63</v>
      </c>
      <c r="B87" t="s">
        <v>58</v>
      </c>
      <c r="C87">
        <v>1</v>
      </c>
      <c r="D87">
        <v>0.78733031674208143</v>
      </c>
      <c r="E87">
        <v>884</v>
      </c>
      <c r="F87">
        <v>2.69749853986005E-2</v>
      </c>
    </row>
    <row r="88" spans="1:6" x14ac:dyDescent="0.3">
      <c r="A88" t="s">
        <v>63</v>
      </c>
      <c r="B88" t="s">
        <v>48</v>
      </c>
      <c r="C88">
        <v>1</v>
      </c>
      <c r="D88">
        <v>0.79298642533936647</v>
      </c>
      <c r="E88">
        <v>884</v>
      </c>
      <c r="F88">
        <v>2.67092828750869E-2</v>
      </c>
    </row>
    <row r="89" spans="1:6" x14ac:dyDescent="0.3">
      <c r="A89" t="s">
        <v>63</v>
      </c>
      <c r="B89" t="s">
        <v>27</v>
      </c>
      <c r="C89">
        <v>2</v>
      </c>
      <c r="D89">
        <v>0.79072398190045246</v>
      </c>
      <c r="E89">
        <v>884</v>
      </c>
      <c r="F89">
        <v>2.6816501936515899E-2</v>
      </c>
    </row>
    <row r="90" spans="1:6" x14ac:dyDescent="0.3">
      <c r="A90" t="s">
        <v>63</v>
      </c>
      <c r="B90" t="s">
        <v>54</v>
      </c>
      <c r="C90">
        <v>2</v>
      </c>
      <c r="D90">
        <v>0.79072398190045246</v>
      </c>
      <c r="E90">
        <v>884</v>
      </c>
      <c r="F90">
        <v>2.6816501936515899E-2</v>
      </c>
    </row>
    <row r="91" spans="1:6" x14ac:dyDescent="0.3">
      <c r="A91" t="s">
        <v>63</v>
      </c>
      <c r="B91" t="s">
        <v>33</v>
      </c>
      <c r="C91">
        <v>2</v>
      </c>
      <c r="D91">
        <v>0.79751131221719462</v>
      </c>
      <c r="E91">
        <v>884</v>
      </c>
      <c r="F91">
        <v>2.6491024104934001E-2</v>
      </c>
    </row>
    <row r="92" spans="1:6" x14ac:dyDescent="0.3">
      <c r="A92" t="s">
        <v>63</v>
      </c>
      <c r="B92" t="s">
        <v>36</v>
      </c>
      <c r="C92">
        <v>2</v>
      </c>
      <c r="D92">
        <v>0.77375565610859731</v>
      </c>
      <c r="E92">
        <v>884</v>
      </c>
      <c r="F92">
        <v>2.7581680445108E-2</v>
      </c>
    </row>
    <row r="93" spans="1:6" x14ac:dyDescent="0.3">
      <c r="A93" t="s">
        <v>63</v>
      </c>
      <c r="B93" t="s">
        <v>39</v>
      </c>
      <c r="C93">
        <v>2</v>
      </c>
      <c r="D93">
        <v>0.78733031674208143</v>
      </c>
      <c r="E93">
        <v>884</v>
      </c>
      <c r="F93">
        <v>2.69749853986005E-2</v>
      </c>
    </row>
    <row r="94" spans="1:6" x14ac:dyDescent="0.3">
      <c r="A94" t="s">
        <v>63</v>
      </c>
      <c r="B94" t="s">
        <v>42</v>
      </c>
      <c r="C94">
        <v>2</v>
      </c>
      <c r="D94">
        <v>0.74208144796380093</v>
      </c>
      <c r="E94">
        <v>884</v>
      </c>
      <c r="F94">
        <v>2.8840116940686802E-2</v>
      </c>
    </row>
    <row r="95" spans="1:6" x14ac:dyDescent="0.3">
      <c r="A95" t="s">
        <v>63</v>
      </c>
      <c r="B95" t="s">
        <v>45</v>
      </c>
      <c r="C95">
        <v>2</v>
      </c>
      <c r="D95">
        <v>0.73981900452488691</v>
      </c>
      <c r="E95">
        <v>884</v>
      </c>
      <c r="F95">
        <v>2.89221427959509E-2</v>
      </c>
    </row>
    <row r="96" spans="1:6" x14ac:dyDescent="0.3">
      <c r="A96" t="s">
        <v>63</v>
      </c>
      <c r="B96" t="s">
        <v>58</v>
      </c>
      <c r="C96">
        <v>2</v>
      </c>
      <c r="D96">
        <v>0.79072398190045246</v>
      </c>
      <c r="E96">
        <v>884</v>
      </c>
      <c r="F96">
        <v>2.6816501936515899E-2</v>
      </c>
    </row>
    <row r="97" spans="1:6" x14ac:dyDescent="0.3">
      <c r="A97" t="s">
        <v>63</v>
      </c>
      <c r="B97" t="s">
        <v>48</v>
      </c>
      <c r="C97">
        <v>2</v>
      </c>
      <c r="D97">
        <v>0.78959276018099545</v>
      </c>
      <c r="E97">
        <v>884</v>
      </c>
      <c r="F97">
        <v>2.6869640586018598E-2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1"/>
  <sheetViews>
    <sheetView workbookViewId="0"/>
  </sheetViews>
  <sheetFormatPr defaultRowHeight="14.4" x14ac:dyDescent="0.3"/>
  <cols>
    <col min="1" max="9" width="12" customWidth="1"/>
  </cols>
  <sheetData>
    <row r="1" spans="1:9" x14ac:dyDescent="0.3">
      <c r="A1" s="2" t="s">
        <v>2</v>
      </c>
      <c r="B1" s="2" t="s">
        <v>3</v>
      </c>
      <c r="C1" s="2" t="s">
        <v>5</v>
      </c>
      <c r="D1" s="2" t="s">
        <v>102</v>
      </c>
      <c r="E1" s="2" t="s">
        <v>103</v>
      </c>
      <c r="F1" s="2" t="s">
        <v>104</v>
      </c>
      <c r="G1" s="2" t="s">
        <v>105</v>
      </c>
      <c r="H1" s="2" t="s">
        <v>106</v>
      </c>
      <c r="I1" s="2" t="s">
        <v>107</v>
      </c>
    </row>
    <row r="2" spans="1:9" x14ac:dyDescent="0.3">
      <c r="A2" t="s">
        <v>26</v>
      </c>
      <c r="B2" t="s">
        <v>42</v>
      </c>
      <c r="C2" t="s">
        <v>26</v>
      </c>
      <c r="D2">
        <v>0</v>
      </c>
      <c r="E2">
        <v>0.40070000068226358</v>
      </c>
      <c r="F2">
        <v>0.62411499802692572</v>
      </c>
      <c r="G2">
        <v>0.44241566660881898</v>
      </c>
      <c r="H2">
        <v>0.1466032535129308</v>
      </c>
      <c r="I2">
        <v>300</v>
      </c>
    </row>
    <row r="3" spans="1:9" x14ac:dyDescent="0.3">
      <c r="A3" t="s">
        <v>26</v>
      </c>
      <c r="B3" t="s">
        <v>36</v>
      </c>
      <c r="C3" t="s">
        <v>26</v>
      </c>
      <c r="D3">
        <v>0</v>
      </c>
      <c r="E3">
        <v>0.56564999977126718</v>
      </c>
      <c r="F3">
        <v>0.7897900024545379</v>
      </c>
      <c r="G3">
        <v>0.60159133332490455</v>
      </c>
      <c r="H3">
        <v>0.1247870113653778</v>
      </c>
      <c r="I3">
        <v>300</v>
      </c>
    </row>
    <row r="4" spans="1:9" x14ac:dyDescent="0.3">
      <c r="A4" t="s">
        <v>26</v>
      </c>
      <c r="B4" t="s">
        <v>33</v>
      </c>
      <c r="C4" t="s">
        <v>26</v>
      </c>
      <c r="D4">
        <v>0</v>
      </c>
      <c r="E4">
        <v>0.83554999946500175</v>
      </c>
      <c r="F4">
        <v>1.1440799986303321</v>
      </c>
      <c r="G4">
        <v>0.88914933322181844</v>
      </c>
      <c r="H4">
        <v>0.19864927067228799</v>
      </c>
      <c r="I4">
        <v>300</v>
      </c>
    </row>
    <row r="5" spans="1:9" x14ac:dyDescent="0.3">
      <c r="A5" t="s">
        <v>26</v>
      </c>
      <c r="B5" t="s">
        <v>27</v>
      </c>
      <c r="C5" t="s">
        <v>26</v>
      </c>
      <c r="D5">
        <v>0</v>
      </c>
      <c r="E5">
        <v>0.62870000147086103</v>
      </c>
      <c r="F5">
        <v>0.91527499971562076</v>
      </c>
      <c r="G5">
        <v>0.6709893332905873</v>
      </c>
      <c r="H5">
        <v>0.1324043329398911</v>
      </c>
      <c r="I5">
        <v>300</v>
      </c>
    </row>
    <row r="6" spans="1:9" x14ac:dyDescent="0.3">
      <c r="A6" t="s">
        <v>26</v>
      </c>
      <c r="B6" t="s">
        <v>45</v>
      </c>
      <c r="C6" t="s">
        <v>26</v>
      </c>
      <c r="D6">
        <v>0</v>
      </c>
      <c r="E6">
        <v>0.3944000000046799</v>
      </c>
      <c r="F6">
        <v>0.67164499832870206</v>
      </c>
      <c r="G6">
        <v>0.438519000041803</v>
      </c>
      <c r="H6">
        <v>0.14176263984926529</v>
      </c>
      <c r="I6">
        <v>300</v>
      </c>
    </row>
    <row r="7" spans="1:9" x14ac:dyDescent="0.3">
      <c r="A7" t="s">
        <v>26</v>
      </c>
      <c r="B7" t="s">
        <v>39</v>
      </c>
      <c r="C7" t="s">
        <v>26</v>
      </c>
      <c r="D7">
        <v>0</v>
      </c>
      <c r="E7">
        <v>0.60825000036857091</v>
      </c>
      <c r="F7">
        <v>0.88749999777064659</v>
      </c>
      <c r="G7">
        <v>0.65974766677148489</v>
      </c>
      <c r="H7">
        <v>0.1522061389518207</v>
      </c>
      <c r="I7">
        <v>300</v>
      </c>
    </row>
    <row r="8" spans="1:9" x14ac:dyDescent="0.3">
      <c r="A8" t="s">
        <v>26</v>
      </c>
      <c r="B8" t="s">
        <v>48</v>
      </c>
      <c r="C8" t="s">
        <v>26</v>
      </c>
      <c r="D8">
        <v>0</v>
      </c>
      <c r="E8">
        <v>1.0527499998715939</v>
      </c>
      <c r="F8">
        <v>1.513149999300367</v>
      </c>
      <c r="G8">
        <v>1.124364666526769</v>
      </c>
      <c r="H8">
        <v>0.18817700745169169</v>
      </c>
      <c r="I8">
        <v>300</v>
      </c>
    </row>
    <row r="9" spans="1:9" x14ac:dyDescent="0.3">
      <c r="A9" t="s">
        <v>26</v>
      </c>
      <c r="B9" t="s">
        <v>33</v>
      </c>
      <c r="C9" t="s">
        <v>26</v>
      </c>
      <c r="D9">
        <v>1</v>
      </c>
      <c r="E9">
        <v>0.84520000018528663</v>
      </c>
      <c r="F9">
        <v>1.3275000012072271</v>
      </c>
      <c r="G9">
        <v>0.91680099993633724</v>
      </c>
      <c r="H9">
        <v>0.19865473499267339</v>
      </c>
      <c r="I9">
        <v>300</v>
      </c>
    </row>
    <row r="10" spans="1:9" x14ac:dyDescent="0.3">
      <c r="A10" t="s">
        <v>26</v>
      </c>
      <c r="B10" t="s">
        <v>27</v>
      </c>
      <c r="C10" t="s">
        <v>26</v>
      </c>
      <c r="D10">
        <v>1</v>
      </c>
      <c r="E10">
        <v>0.624549998974544</v>
      </c>
      <c r="F10">
        <v>0.97176000199397095</v>
      </c>
      <c r="G10">
        <v>0.68529000008614582</v>
      </c>
      <c r="H10">
        <v>0.16586474819140179</v>
      </c>
      <c r="I10">
        <v>300</v>
      </c>
    </row>
    <row r="11" spans="1:9" x14ac:dyDescent="0.3">
      <c r="A11" t="s">
        <v>26</v>
      </c>
      <c r="B11" t="s">
        <v>42</v>
      </c>
      <c r="C11" t="s">
        <v>26</v>
      </c>
      <c r="D11">
        <v>1</v>
      </c>
      <c r="E11">
        <v>0.39199999991978979</v>
      </c>
      <c r="F11">
        <v>0.64286499928130081</v>
      </c>
      <c r="G11">
        <v>0.42691500001334742</v>
      </c>
      <c r="H11">
        <v>0.1179272361831791</v>
      </c>
      <c r="I11">
        <v>300</v>
      </c>
    </row>
    <row r="12" spans="1:9" x14ac:dyDescent="0.3">
      <c r="A12" t="s">
        <v>26</v>
      </c>
      <c r="B12" t="s">
        <v>45</v>
      </c>
      <c r="C12" t="s">
        <v>26</v>
      </c>
      <c r="D12">
        <v>1</v>
      </c>
      <c r="E12">
        <v>0.38199999835342169</v>
      </c>
      <c r="F12">
        <v>0.59320499931345705</v>
      </c>
      <c r="G12">
        <v>0.41136633334341849</v>
      </c>
      <c r="H12">
        <v>9.8371139415245903E-2</v>
      </c>
      <c r="I12">
        <v>300</v>
      </c>
    </row>
    <row r="13" spans="1:9" x14ac:dyDescent="0.3">
      <c r="A13" t="s">
        <v>26</v>
      </c>
      <c r="B13" t="s">
        <v>48</v>
      </c>
      <c r="C13" t="s">
        <v>26</v>
      </c>
      <c r="D13">
        <v>1</v>
      </c>
      <c r="E13">
        <v>1.0508499999559719</v>
      </c>
      <c r="F13">
        <v>1.579079999828537</v>
      </c>
      <c r="G13">
        <v>1.137501666683723</v>
      </c>
      <c r="H13">
        <v>0.23018197998183121</v>
      </c>
      <c r="I13">
        <v>300</v>
      </c>
    </row>
    <row r="14" spans="1:9" x14ac:dyDescent="0.3">
      <c r="A14" t="s">
        <v>26</v>
      </c>
      <c r="B14" t="s">
        <v>36</v>
      </c>
      <c r="C14" t="s">
        <v>26</v>
      </c>
      <c r="D14">
        <v>1</v>
      </c>
      <c r="E14">
        <v>0.55594999867025763</v>
      </c>
      <c r="F14">
        <v>0.82396000070730235</v>
      </c>
      <c r="G14">
        <v>0.59599300002446398</v>
      </c>
      <c r="H14">
        <v>0.12596151475742531</v>
      </c>
      <c r="I14">
        <v>300</v>
      </c>
    </row>
    <row r="15" spans="1:9" x14ac:dyDescent="0.3">
      <c r="A15" t="s">
        <v>26</v>
      </c>
      <c r="B15" t="s">
        <v>39</v>
      </c>
      <c r="C15" t="s">
        <v>26</v>
      </c>
      <c r="D15">
        <v>1</v>
      </c>
      <c r="E15">
        <v>0.56589999985590111</v>
      </c>
      <c r="F15">
        <v>0.82644000103755388</v>
      </c>
      <c r="G15">
        <v>0.60709566673419124</v>
      </c>
      <c r="H15">
        <v>0.13910132700392919</v>
      </c>
      <c r="I15">
        <v>300</v>
      </c>
    </row>
    <row r="16" spans="1:9" x14ac:dyDescent="0.3">
      <c r="A16" t="s">
        <v>26</v>
      </c>
      <c r="B16" t="s">
        <v>48</v>
      </c>
      <c r="C16" t="s">
        <v>26</v>
      </c>
      <c r="D16">
        <v>2</v>
      </c>
      <c r="E16">
        <v>1.0418000001664041</v>
      </c>
      <c r="F16">
        <v>1.427860000148939</v>
      </c>
      <c r="G16">
        <v>1.1043276666411359</v>
      </c>
      <c r="H16">
        <v>0.17167938990272291</v>
      </c>
      <c r="I16">
        <v>300</v>
      </c>
    </row>
    <row r="17" spans="1:9" x14ac:dyDescent="0.3">
      <c r="A17" t="s">
        <v>26</v>
      </c>
      <c r="B17" t="s">
        <v>39</v>
      </c>
      <c r="C17" t="s">
        <v>26</v>
      </c>
      <c r="D17">
        <v>2</v>
      </c>
      <c r="E17">
        <v>0.59150000015506521</v>
      </c>
      <c r="F17">
        <v>0.91229999816277996</v>
      </c>
      <c r="G17">
        <v>0.64685033343266696</v>
      </c>
      <c r="H17">
        <v>0.15880004255076921</v>
      </c>
      <c r="I17">
        <v>300</v>
      </c>
    </row>
    <row r="18" spans="1:9" x14ac:dyDescent="0.3">
      <c r="A18" t="s">
        <v>26</v>
      </c>
      <c r="B18" t="s">
        <v>27</v>
      </c>
      <c r="C18" t="s">
        <v>26</v>
      </c>
      <c r="D18">
        <v>2</v>
      </c>
      <c r="E18">
        <v>0.6216000001586508</v>
      </c>
      <c r="F18">
        <v>0.91347500238043744</v>
      </c>
      <c r="G18">
        <v>0.66193200008759356</v>
      </c>
      <c r="H18">
        <v>0.12361095548364261</v>
      </c>
      <c r="I18">
        <v>300</v>
      </c>
    </row>
    <row r="19" spans="1:9" x14ac:dyDescent="0.3">
      <c r="A19" t="s">
        <v>26</v>
      </c>
      <c r="B19" t="s">
        <v>45</v>
      </c>
      <c r="C19" t="s">
        <v>26</v>
      </c>
      <c r="D19">
        <v>2</v>
      </c>
      <c r="E19">
        <v>0.38845000017317938</v>
      </c>
      <c r="F19">
        <v>0.61397499976010295</v>
      </c>
      <c r="G19">
        <v>0.4196586665057111</v>
      </c>
      <c r="H19">
        <v>0.1039595587089108</v>
      </c>
      <c r="I19">
        <v>300</v>
      </c>
    </row>
    <row r="20" spans="1:9" x14ac:dyDescent="0.3">
      <c r="A20" t="s">
        <v>26</v>
      </c>
      <c r="B20" t="s">
        <v>36</v>
      </c>
      <c r="C20" t="s">
        <v>26</v>
      </c>
      <c r="D20">
        <v>2</v>
      </c>
      <c r="E20">
        <v>0.55865000103949569</v>
      </c>
      <c r="F20">
        <v>0.8317650010212676</v>
      </c>
      <c r="G20">
        <v>0.6090313331272531</v>
      </c>
      <c r="H20">
        <v>0.16082309498070191</v>
      </c>
      <c r="I20">
        <v>300</v>
      </c>
    </row>
    <row r="21" spans="1:9" x14ac:dyDescent="0.3">
      <c r="A21" t="s">
        <v>26</v>
      </c>
      <c r="B21" t="s">
        <v>33</v>
      </c>
      <c r="C21" t="s">
        <v>26</v>
      </c>
      <c r="D21">
        <v>2</v>
      </c>
      <c r="E21">
        <v>0.83389999963401351</v>
      </c>
      <c r="F21">
        <v>1.1538450025909699</v>
      </c>
      <c r="G21">
        <v>0.89690899990576634</v>
      </c>
      <c r="H21">
        <v>0.21221352620127559</v>
      </c>
      <c r="I21">
        <v>300</v>
      </c>
    </row>
    <row r="22" spans="1:9" x14ac:dyDescent="0.3">
      <c r="A22" t="s">
        <v>26</v>
      </c>
      <c r="B22" t="s">
        <v>42</v>
      </c>
      <c r="C22" t="s">
        <v>26</v>
      </c>
      <c r="D22">
        <v>2</v>
      </c>
      <c r="E22">
        <v>0.3816000025835819</v>
      </c>
      <c r="F22">
        <v>0.55643999894527973</v>
      </c>
      <c r="G22">
        <v>0.40727200008404901</v>
      </c>
      <c r="H22">
        <v>0.11148264496550769</v>
      </c>
      <c r="I22">
        <v>300</v>
      </c>
    </row>
    <row r="23" spans="1:9" x14ac:dyDescent="0.3">
      <c r="A23" t="s">
        <v>26</v>
      </c>
      <c r="B23" t="s">
        <v>36</v>
      </c>
      <c r="C23" t="s">
        <v>26</v>
      </c>
      <c r="D23">
        <v>3</v>
      </c>
      <c r="E23">
        <v>0.55239999892364722</v>
      </c>
      <c r="F23">
        <v>0.73946000120486144</v>
      </c>
      <c r="G23">
        <v>0.5801126666362203</v>
      </c>
      <c r="H23">
        <v>9.9270721953761396E-2</v>
      </c>
      <c r="I23">
        <v>300</v>
      </c>
    </row>
    <row r="24" spans="1:9" x14ac:dyDescent="0.3">
      <c r="A24" t="s">
        <v>26</v>
      </c>
      <c r="B24" t="s">
        <v>27</v>
      </c>
      <c r="C24" t="s">
        <v>26</v>
      </c>
      <c r="D24">
        <v>3</v>
      </c>
      <c r="E24">
        <v>0.61144999926909804</v>
      </c>
      <c r="F24">
        <v>0.84012000115762941</v>
      </c>
      <c r="G24">
        <v>0.64990733336647588</v>
      </c>
      <c r="H24">
        <v>0.13442597235180001</v>
      </c>
      <c r="I24">
        <v>300</v>
      </c>
    </row>
    <row r="25" spans="1:9" x14ac:dyDescent="0.3">
      <c r="A25" t="s">
        <v>26</v>
      </c>
      <c r="B25" t="s">
        <v>39</v>
      </c>
      <c r="C25" t="s">
        <v>26</v>
      </c>
      <c r="D25">
        <v>3</v>
      </c>
      <c r="E25">
        <v>0.56869999934860971</v>
      </c>
      <c r="F25">
        <v>0.92104999857838277</v>
      </c>
      <c r="G25">
        <v>0.62940900003013667</v>
      </c>
      <c r="H25">
        <v>0.18121003416606299</v>
      </c>
      <c r="I25">
        <v>300</v>
      </c>
    </row>
    <row r="26" spans="1:9" x14ac:dyDescent="0.3">
      <c r="A26" t="s">
        <v>26</v>
      </c>
      <c r="B26" t="s">
        <v>33</v>
      </c>
      <c r="C26" t="s">
        <v>26</v>
      </c>
      <c r="D26">
        <v>3</v>
      </c>
      <c r="E26">
        <v>0.84495000010065269</v>
      </c>
      <c r="F26">
        <v>1.2893600032839461</v>
      </c>
      <c r="G26">
        <v>0.91687933330831584</v>
      </c>
      <c r="H26">
        <v>0.20234889972282119</v>
      </c>
      <c r="I26">
        <v>300</v>
      </c>
    </row>
    <row r="27" spans="1:9" x14ac:dyDescent="0.3">
      <c r="A27" t="s">
        <v>26</v>
      </c>
      <c r="B27" t="s">
        <v>48</v>
      </c>
      <c r="C27" t="s">
        <v>26</v>
      </c>
      <c r="D27">
        <v>3</v>
      </c>
      <c r="E27">
        <v>1.0336999985156581</v>
      </c>
      <c r="F27">
        <v>1.5607550030836139</v>
      </c>
      <c r="G27">
        <v>1.1243023333978881</v>
      </c>
      <c r="H27">
        <v>0.2353319774346555</v>
      </c>
      <c r="I27">
        <v>300</v>
      </c>
    </row>
    <row r="28" spans="1:9" x14ac:dyDescent="0.3">
      <c r="A28" t="s">
        <v>26</v>
      </c>
      <c r="B28" t="s">
        <v>45</v>
      </c>
      <c r="C28" t="s">
        <v>26</v>
      </c>
      <c r="D28">
        <v>3</v>
      </c>
      <c r="E28">
        <v>0.39305000063905021</v>
      </c>
      <c r="F28">
        <v>0.59568999731709493</v>
      </c>
      <c r="G28">
        <v>0.41722433339600679</v>
      </c>
      <c r="H28">
        <v>7.9171961989459902E-2</v>
      </c>
      <c r="I28">
        <v>300</v>
      </c>
    </row>
    <row r="29" spans="1:9" x14ac:dyDescent="0.3">
      <c r="A29" t="s">
        <v>26</v>
      </c>
      <c r="B29" t="s">
        <v>42</v>
      </c>
      <c r="C29" t="s">
        <v>26</v>
      </c>
      <c r="D29">
        <v>3</v>
      </c>
      <c r="E29">
        <v>0.37504999818338541</v>
      </c>
      <c r="F29">
        <v>0.55951499962247908</v>
      </c>
      <c r="G29">
        <v>0.40626999990005669</v>
      </c>
      <c r="H29">
        <v>0.1105558920088901</v>
      </c>
      <c r="I29">
        <v>300</v>
      </c>
    </row>
    <row r="30" spans="1:9" x14ac:dyDescent="0.3">
      <c r="A30" t="s">
        <v>26</v>
      </c>
      <c r="B30" t="s">
        <v>33</v>
      </c>
      <c r="C30" t="s">
        <v>26</v>
      </c>
      <c r="D30">
        <v>4</v>
      </c>
      <c r="E30">
        <v>0.8683499981998466</v>
      </c>
      <c r="F30">
        <v>1.307790001555986</v>
      </c>
      <c r="G30">
        <v>0.93782866671972442</v>
      </c>
      <c r="H30">
        <v>0.27730963058789548</v>
      </c>
      <c r="I30">
        <v>300</v>
      </c>
    </row>
    <row r="31" spans="1:9" x14ac:dyDescent="0.3">
      <c r="A31" t="s">
        <v>26</v>
      </c>
      <c r="B31" t="s">
        <v>48</v>
      </c>
      <c r="C31" t="s">
        <v>26</v>
      </c>
      <c r="D31">
        <v>4</v>
      </c>
      <c r="E31">
        <v>1.0493499994481681</v>
      </c>
      <c r="F31">
        <v>1.6841000000567881</v>
      </c>
      <c r="G31">
        <v>1.1556040000990231</v>
      </c>
      <c r="H31">
        <v>0.27388895689817</v>
      </c>
      <c r="I31">
        <v>300</v>
      </c>
    </row>
    <row r="32" spans="1:9" x14ac:dyDescent="0.3">
      <c r="A32" t="s">
        <v>26</v>
      </c>
      <c r="B32" t="s">
        <v>42</v>
      </c>
      <c r="C32" t="s">
        <v>26</v>
      </c>
      <c r="D32">
        <v>4</v>
      </c>
      <c r="E32">
        <v>0.40660000013303937</v>
      </c>
      <c r="F32">
        <v>0.61521500156231923</v>
      </c>
      <c r="G32">
        <v>0.43292066659584327</v>
      </c>
      <c r="H32">
        <v>9.0869925805856094E-2</v>
      </c>
      <c r="I32">
        <v>300</v>
      </c>
    </row>
    <row r="33" spans="1:9" x14ac:dyDescent="0.3">
      <c r="A33" t="s">
        <v>26</v>
      </c>
      <c r="B33" t="s">
        <v>39</v>
      </c>
      <c r="C33" t="s">
        <v>26</v>
      </c>
      <c r="D33">
        <v>4</v>
      </c>
      <c r="E33">
        <v>0.57544999981473666</v>
      </c>
      <c r="F33">
        <v>0.85222000088833738</v>
      </c>
      <c r="G33">
        <v>0.62185533325343079</v>
      </c>
      <c r="H33">
        <v>0.14607867075619599</v>
      </c>
      <c r="I33">
        <v>300</v>
      </c>
    </row>
    <row r="34" spans="1:9" x14ac:dyDescent="0.3">
      <c r="A34" t="s">
        <v>26</v>
      </c>
      <c r="B34" t="s">
        <v>36</v>
      </c>
      <c r="C34" t="s">
        <v>26</v>
      </c>
      <c r="D34">
        <v>4</v>
      </c>
      <c r="E34">
        <v>0.56290000065928325</v>
      </c>
      <c r="F34">
        <v>0.83707499725278489</v>
      </c>
      <c r="G34">
        <v>0.6083493332092379</v>
      </c>
      <c r="H34">
        <v>0.13802102032189539</v>
      </c>
      <c r="I34">
        <v>300</v>
      </c>
    </row>
    <row r="35" spans="1:9" x14ac:dyDescent="0.3">
      <c r="A35" t="s">
        <v>26</v>
      </c>
      <c r="B35" t="s">
        <v>27</v>
      </c>
      <c r="C35" t="s">
        <v>26</v>
      </c>
      <c r="D35">
        <v>4</v>
      </c>
      <c r="E35">
        <v>0.61509999977715779</v>
      </c>
      <c r="F35">
        <v>0.82692500091070575</v>
      </c>
      <c r="G35">
        <v>0.64983933337013389</v>
      </c>
      <c r="H35">
        <v>0.1165290409154566</v>
      </c>
      <c r="I35">
        <v>300</v>
      </c>
    </row>
    <row r="36" spans="1:9" x14ac:dyDescent="0.3">
      <c r="A36" t="s">
        <v>26</v>
      </c>
      <c r="B36" t="s">
        <v>45</v>
      </c>
      <c r="C36" t="s">
        <v>26</v>
      </c>
      <c r="D36">
        <v>4</v>
      </c>
      <c r="E36">
        <v>0.38310000127239618</v>
      </c>
      <c r="F36">
        <v>0.57252000096923439</v>
      </c>
      <c r="G36">
        <v>0.40341899987348978</v>
      </c>
      <c r="H36">
        <v>7.19990626248663E-2</v>
      </c>
      <c r="I36">
        <v>300</v>
      </c>
    </row>
    <row r="37" spans="1:9" x14ac:dyDescent="0.3">
      <c r="A37" t="s">
        <v>52</v>
      </c>
      <c r="B37" t="s">
        <v>58</v>
      </c>
      <c r="C37" t="s">
        <v>26</v>
      </c>
      <c r="D37">
        <v>0</v>
      </c>
      <c r="E37">
        <v>1.739711000141142</v>
      </c>
      <c r="F37">
        <v>2.4376414998187101</v>
      </c>
      <c r="G37">
        <v>1.8591004366711179</v>
      </c>
      <c r="H37">
        <v>0.56317322467488973</v>
      </c>
      <c r="I37">
        <v>300</v>
      </c>
    </row>
    <row r="38" spans="1:9" x14ac:dyDescent="0.3">
      <c r="A38" t="s">
        <v>52</v>
      </c>
      <c r="B38" t="s">
        <v>42</v>
      </c>
      <c r="C38" t="s">
        <v>53</v>
      </c>
      <c r="D38">
        <v>0</v>
      </c>
      <c r="E38">
        <v>1.122009000027901</v>
      </c>
      <c r="F38">
        <v>1.277298849959152</v>
      </c>
      <c r="G38">
        <v>1.1467104599955751</v>
      </c>
      <c r="H38">
        <v>8.5024434060725601E-2</v>
      </c>
      <c r="I38">
        <v>300</v>
      </c>
    </row>
    <row r="39" spans="1:9" x14ac:dyDescent="0.3">
      <c r="A39" t="s">
        <v>52</v>
      </c>
      <c r="B39" t="s">
        <v>54</v>
      </c>
      <c r="C39" t="s">
        <v>53</v>
      </c>
      <c r="D39">
        <v>0</v>
      </c>
      <c r="E39">
        <v>2.1842979999746599</v>
      </c>
      <c r="F39">
        <v>3.2019886498915189</v>
      </c>
      <c r="G39">
        <v>2.353044800000438</v>
      </c>
      <c r="H39">
        <v>0.4146056204640815</v>
      </c>
      <c r="I39">
        <v>300</v>
      </c>
    </row>
    <row r="40" spans="1:9" x14ac:dyDescent="0.3">
      <c r="A40" t="s">
        <v>52</v>
      </c>
      <c r="B40" t="s">
        <v>36</v>
      </c>
      <c r="C40" t="s">
        <v>53</v>
      </c>
      <c r="D40">
        <v>0</v>
      </c>
      <c r="E40">
        <v>1.5931039999941281</v>
      </c>
      <c r="F40">
        <v>2.0295261000569562</v>
      </c>
      <c r="G40">
        <v>1.6331458866655639</v>
      </c>
      <c r="H40">
        <v>0.18470657402246199</v>
      </c>
      <c r="I40">
        <v>300</v>
      </c>
    </row>
    <row r="41" spans="1:9" x14ac:dyDescent="0.3">
      <c r="A41" t="s">
        <v>52</v>
      </c>
      <c r="B41" t="s">
        <v>39</v>
      </c>
      <c r="C41" t="s">
        <v>53</v>
      </c>
      <c r="D41">
        <v>0</v>
      </c>
      <c r="E41">
        <v>1.524861999996574</v>
      </c>
      <c r="F41">
        <v>2.039196749899475</v>
      </c>
      <c r="G41">
        <v>1.6387640500026159</v>
      </c>
      <c r="H41">
        <v>0.29102046783244551</v>
      </c>
      <c r="I41">
        <v>300</v>
      </c>
    </row>
    <row r="42" spans="1:9" x14ac:dyDescent="0.3">
      <c r="A42" t="s">
        <v>52</v>
      </c>
      <c r="B42" t="s">
        <v>33</v>
      </c>
      <c r="C42" t="s">
        <v>53</v>
      </c>
      <c r="D42">
        <v>0</v>
      </c>
      <c r="E42">
        <v>2.6982585000041581</v>
      </c>
      <c r="F42">
        <v>4.8365353999884073</v>
      </c>
      <c r="G42">
        <v>3.2348188333298822</v>
      </c>
      <c r="H42">
        <v>0.93696968869557296</v>
      </c>
      <c r="I42">
        <v>300</v>
      </c>
    </row>
    <row r="43" spans="1:9" x14ac:dyDescent="0.3">
      <c r="A43" t="s">
        <v>52</v>
      </c>
      <c r="B43" t="s">
        <v>27</v>
      </c>
      <c r="C43" t="s">
        <v>53</v>
      </c>
      <c r="D43">
        <v>0</v>
      </c>
      <c r="E43">
        <v>1.509160500063444</v>
      </c>
      <c r="F43">
        <v>2.121687800070049</v>
      </c>
      <c r="G43">
        <v>1.5883858133292961</v>
      </c>
      <c r="H43">
        <v>0.21870613757606711</v>
      </c>
      <c r="I43">
        <v>300</v>
      </c>
    </row>
    <row r="44" spans="1:9" x14ac:dyDescent="0.3">
      <c r="A44" t="s">
        <v>52</v>
      </c>
      <c r="B44" t="s">
        <v>48</v>
      </c>
      <c r="C44" t="s">
        <v>26</v>
      </c>
      <c r="D44">
        <v>0</v>
      </c>
      <c r="E44">
        <v>2.2681894998868302</v>
      </c>
      <c r="F44">
        <v>2.7757977998930978</v>
      </c>
      <c r="G44">
        <v>2.4303453599926188</v>
      </c>
      <c r="H44">
        <v>0.59201445681918052</v>
      </c>
      <c r="I44">
        <v>300</v>
      </c>
    </row>
    <row r="45" spans="1:9" x14ac:dyDescent="0.3">
      <c r="A45" t="s">
        <v>52</v>
      </c>
      <c r="B45" t="s">
        <v>45</v>
      </c>
      <c r="C45" t="s">
        <v>53</v>
      </c>
      <c r="D45">
        <v>0</v>
      </c>
      <c r="E45">
        <v>1.218761000018276</v>
      </c>
      <c r="F45">
        <v>1.4395294500445741</v>
      </c>
      <c r="G45">
        <v>1.2471373233309651</v>
      </c>
      <c r="H45">
        <v>0.11903590830836761</v>
      </c>
      <c r="I45">
        <v>300</v>
      </c>
    </row>
    <row r="46" spans="1:9" x14ac:dyDescent="0.3">
      <c r="A46" t="s">
        <v>52</v>
      </c>
      <c r="B46" t="s">
        <v>33</v>
      </c>
      <c r="C46" t="s">
        <v>53</v>
      </c>
      <c r="D46">
        <v>1</v>
      </c>
      <c r="E46">
        <v>2.7223245000413958</v>
      </c>
      <c r="F46">
        <v>3.5007984000458241</v>
      </c>
      <c r="G46">
        <v>2.8050334666697081</v>
      </c>
      <c r="H46">
        <v>0.31134562474094929</v>
      </c>
      <c r="I46">
        <v>300</v>
      </c>
    </row>
    <row r="47" spans="1:9" x14ac:dyDescent="0.3">
      <c r="A47" t="s">
        <v>52</v>
      </c>
      <c r="B47" t="s">
        <v>27</v>
      </c>
      <c r="C47" t="s">
        <v>53</v>
      </c>
      <c r="D47">
        <v>1</v>
      </c>
      <c r="E47">
        <v>1.555202499957886</v>
      </c>
      <c r="F47">
        <v>2.132719150029061</v>
      </c>
      <c r="G47">
        <v>1.6159010266665059</v>
      </c>
      <c r="H47">
        <v>0.25825049068595901</v>
      </c>
      <c r="I47">
        <v>300</v>
      </c>
    </row>
    <row r="48" spans="1:9" x14ac:dyDescent="0.3">
      <c r="A48" t="s">
        <v>52</v>
      </c>
      <c r="B48" t="s">
        <v>36</v>
      </c>
      <c r="C48" t="s">
        <v>53</v>
      </c>
      <c r="D48">
        <v>1</v>
      </c>
      <c r="E48">
        <v>1.228579499979787</v>
      </c>
      <c r="F48">
        <v>1.4449002500668939</v>
      </c>
      <c r="G48">
        <v>1.2465654933301571</v>
      </c>
      <c r="H48">
        <v>0.1030183019063419</v>
      </c>
      <c r="I48">
        <v>300</v>
      </c>
    </row>
    <row r="49" spans="1:9" x14ac:dyDescent="0.3">
      <c r="A49" t="s">
        <v>52</v>
      </c>
      <c r="B49" t="s">
        <v>48</v>
      </c>
      <c r="C49" t="s">
        <v>26</v>
      </c>
      <c r="D49">
        <v>1</v>
      </c>
      <c r="E49">
        <v>2.187064500049019</v>
      </c>
      <c r="F49">
        <v>2.7458294998268689</v>
      </c>
      <c r="G49">
        <v>2.298665826661666</v>
      </c>
      <c r="H49">
        <v>0.62691755668697458</v>
      </c>
      <c r="I49">
        <v>300</v>
      </c>
    </row>
    <row r="50" spans="1:9" x14ac:dyDescent="0.3">
      <c r="A50" t="s">
        <v>52</v>
      </c>
      <c r="B50" t="s">
        <v>45</v>
      </c>
      <c r="C50" t="s">
        <v>53</v>
      </c>
      <c r="D50">
        <v>1</v>
      </c>
      <c r="E50">
        <v>1.1587939999344601</v>
      </c>
      <c r="F50">
        <v>1.3181105499484149</v>
      </c>
      <c r="G50">
        <v>1.1754065566697141</v>
      </c>
      <c r="H50">
        <v>9.1700535478113798E-2</v>
      </c>
      <c r="I50">
        <v>300</v>
      </c>
    </row>
    <row r="51" spans="1:9" x14ac:dyDescent="0.3">
      <c r="A51" t="s">
        <v>52</v>
      </c>
      <c r="B51" t="s">
        <v>54</v>
      </c>
      <c r="C51" t="s">
        <v>53</v>
      </c>
      <c r="D51">
        <v>1</v>
      </c>
      <c r="E51">
        <v>1.668673499921169</v>
      </c>
      <c r="F51">
        <v>2.4138659498134989</v>
      </c>
      <c r="G51">
        <v>1.7501677533315769</v>
      </c>
      <c r="H51">
        <v>0.27767796507991538</v>
      </c>
      <c r="I51">
        <v>300</v>
      </c>
    </row>
    <row r="52" spans="1:9" x14ac:dyDescent="0.3">
      <c r="A52" t="s">
        <v>52</v>
      </c>
      <c r="B52" t="s">
        <v>39</v>
      </c>
      <c r="C52" t="s">
        <v>53</v>
      </c>
      <c r="D52">
        <v>1</v>
      </c>
      <c r="E52">
        <v>1.189049999993586</v>
      </c>
      <c r="F52">
        <v>1.375515399820415</v>
      </c>
      <c r="G52">
        <v>1.2207743299965541</v>
      </c>
      <c r="H52">
        <v>8.3841925204547696E-2</v>
      </c>
      <c r="I52">
        <v>300</v>
      </c>
    </row>
    <row r="53" spans="1:9" x14ac:dyDescent="0.3">
      <c r="A53" t="s">
        <v>52</v>
      </c>
      <c r="B53" t="s">
        <v>42</v>
      </c>
      <c r="C53" t="s">
        <v>53</v>
      </c>
      <c r="D53">
        <v>1</v>
      </c>
      <c r="E53">
        <v>1.199797000026593</v>
      </c>
      <c r="F53">
        <v>1.814523750090302</v>
      </c>
      <c r="G53">
        <v>1.2762172300055381</v>
      </c>
      <c r="H53">
        <v>0.22584853464627799</v>
      </c>
      <c r="I53">
        <v>300</v>
      </c>
    </row>
    <row r="54" spans="1:9" x14ac:dyDescent="0.3">
      <c r="A54" t="s">
        <v>52</v>
      </c>
      <c r="B54" t="s">
        <v>58</v>
      </c>
      <c r="C54" t="s">
        <v>26</v>
      </c>
      <c r="D54">
        <v>1</v>
      </c>
      <c r="E54">
        <v>1.6828689999783819</v>
      </c>
      <c r="F54">
        <v>1.9278581999969899</v>
      </c>
      <c r="G54">
        <v>1.7220954799965209</v>
      </c>
      <c r="H54">
        <v>0.23896311585135571</v>
      </c>
      <c r="I54">
        <v>300</v>
      </c>
    </row>
    <row r="55" spans="1:9" x14ac:dyDescent="0.3">
      <c r="A55" t="s">
        <v>52</v>
      </c>
      <c r="B55" t="s">
        <v>33</v>
      </c>
      <c r="C55" t="s">
        <v>53</v>
      </c>
      <c r="D55">
        <v>2</v>
      </c>
      <c r="E55">
        <v>2.5898869999991798</v>
      </c>
      <c r="F55">
        <v>3.0778697499954442</v>
      </c>
      <c r="G55">
        <v>2.6774863333336421</v>
      </c>
      <c r="H55">
        <v>0.2988121618684127</v>
      </c>
      <c r="I55">
        <v>300</v>
      </c>
    </row>
    <row r="56" spans="1:9" x14ac:dyDescent="0.3">
      <c r="A56" t="s">
        <v>52</v>
      </c>
      <c r="B56" t="s">
        <v>27</v>
      </c>
      <c r="C56" t="s">
        <v>53</v>
      </c>
      <c r="D56">
        <v>2</v>
      </c>
      <c r="E56">
        <v>1.5622280000116009</v>
      </c>
      <c r="F56">
        <v>2.3154307998652262</v>
      </c>
      <c r="G56">
        <v>1.633013483331069</v>
      </c>
      <c r="H56">
        <v>0.26141407270340111</v>
      </c>
      <c r="I56">
        <v>300</v>
      </c>
    </row>
    <row r="57" spans="1:9" x14ac:dyDescent="0.3">
      <c r="A57" t="s">
        <v>52</v>
      </c>
      <c r="B57" t="s">
        <v>36</v>
      </c>
      <c r="C57" t="s">
        <v>53</v>
      </c>
      <c r="D57">
        <v>2</v>
      </c>
      <c r="E57">
        <v>1.178263000042534</v>
      </c>
      <c r="F57">
        <v>1.403861800042705</v>
      </c>
      <c r="G57">
        <v>1.215648556656864</v>
      </c>
      <c r="H57">
        <v>0.1109014673127335</v>
      </c>
      <c r="I57">
        <v>300</v>
      </c>
    </row>
    <row r="58" spans="1:9" x14ac:dyDescent="0.3">
      <c r="A58" t="s">
        <v>52</v>
      </c>
      <c r="B58" t="s">
        <v>48</v>
      </c>
      <c r="C58" t="s">
        <v>26</v>
      </c>
      <c r="D58">
        <v>2</v>
      </c>
      <c r="E58">
        <v>4.2940419999695223</v>
      </c>
      <c r="F58">
        <v>11.333341799820589</v>
      </c>
      <c r="G58">
        <v>7.7255608499982982</v>
      </c>
      <c r="H58">
        <v>16.697443942661579</v>
      </c>
      <c r="I58">
        <v>300</v>
      </c>
    </row>
    <row r="59" spans="1:9" x14ac:dyDescent="0.3">
      <c r="A59" t="s">
        <v>52</v>
      </c>
      <c r="B59" t="s">
        <v>45</v>
      </c>
      <c r="C59" t="s">
        <v>53</v>
      </c>
      <c r="D59">
        <v>2</v>
      </c>
      <c r="E59">
        <v>1.3341819999368449</v>
      </c>
      <c r="F59">
        <v>2.18500285002392</v>
      </c>
      <c r="G59">
        <v>1.54838999666481</v>
      </c>
      <c r="H59">
        <v>0.4109525980464237</v>
      </c>
      <c r="I59">
        <v>300</v>
      </c>
    </row>
    <row r="60" spans="1:9" x14ac:dyDescent="0.3">
      <c r="A60" t="s">
        <v>52</v>
      </c>
      <c r="B60" t="s">
        <v>42</v>
      </c>
      <c r="C60" t="s">
        <v>53</v>
      </c>
      <c r="D60">
        <v>2</v>
      </c>
      <c r="E60">
        <v>1.1913039999171811</v>
      </c>
      <c r="F60">
        <v>1.431485550085654</v>
      </c>
      <c r="G60">
        <v>1.2216246600072129</v>
      </c>
      <c r="H60">
        <v>0.13944518549526319</v>
      </c>
      <c r="I60">
        <v>300</v>
      </c>
    </row>
    <row r="61" spans="1:9" x14ac:dyDescent="0.3">
      <c r="A61" t="s">
        <v>52</v>
      </c>
      <c r="B61" t="s">
        <v>58</v>
      </c>
      <c r="C61" t="s">
        <v>26</v>
      </c>
      <c r="D61">
        <v>2</v>
      </c>
      <c r="E61">
        <v>1.767869499985864</v>
      </c>
      <c r="F61">
        <v>2.0834418999811528</v>
      </c>
      <c r="G61">
        <v>1.875487966662301</v>
      </c>
      <c r="H61">
        <v>0.56999659080489551</v>
      </c>
      <c r="I61">
        <v>300</v>
      </c>
    </row>
    <row r="62" spans="1:9" x14ac:dyDescent="0.3">
      <c r="A62" t="s">
        <v>52</v>
      </c>
      <c r="B62" t="s">
        <v>39</v>
      </c>
      <c r="C62" t="s">
        <v>53</v>
      </c>
      <c r="D62">
        <v>2</v>
      </c>
      <c r="E62">
        <v>1.22306799994476</v>
      </c>
      <c r="F62">
        <v>1.5388725499860809</v>
      </c>
      <c r="G62">
        <v>1.2714996066673241</v>
      </c>
      <c r="H62">
        <v>0.1546624333449948</v>
      </c>
      <c r="I62">
        <v>300</v>
      </c>
    </row>
    <row r="63" spans="1:9" x14ac:dyDescent="0.3">
      <c r="A63" t="s">
        <v>52</v>
      </c>
      <c r="B63" t="s">
        <v>54</v>
      </c>
      <c r="C63" t="s">
        <v>53</v>
      </c>
      <c r="D63">
        <v>2</v>
      </c>
      <c r="E63">
        <v>1.5934859999333639</v>
      </c>
      <c r="F63">
        <v>1.83364970009734</v>
      </c>
      <c r="G63">
        <v>1.660373573329252</v>
      </c>
      <c r="H63">
        <v>0.20605599093131011</v>
      </c>
      <c r="I63">
        <v>300</v>
      </c>
    </row>
    <row r="64" spans="1:9" x14ac:dyDescent="0.3">
      <c r="A64" t="s">
        <v>52</v>
      </c>
      <c r="B64" t="s">
        <v>58</v>
      </c>
      <c r="C64" t="s">
        <v>26</v>
      </c>
      <c r="D64">
        <v>3</v>
      </c>
      <c r="E64">
        <v>1.753273499957686</v>
      </c>
      <c r="F64">
        <v>2.6658009001153018</v>
      </c>
      <c r="G64">
        <v>1.879081359999569</v>
      </c>
      <c r="H64">
        <v>0.51267095678911045</v>
      </c>
      <c r="I64">
        <v>300</v>
      </c>
    </row>
    <row r="65" spans="1:9" x14ac:dyDescent="0.3">
      <c r="A65" t="s">
        <v>52</v>
      </c>
      <c r="B65" t="s">
        <v>45</v>
      </c>
      <c r="C65" t="s">
        <v>53</v>
      </c>
      <c r="D65">
        <v>3</v>
      </c>
      <c r="E65">
        <v>1.2062740000828851</v>
      </c>
      <c r="F65">
        <v>1.3547602499443201</v>
      </c>
      <c r="G65">
        <v>1.219482360004349</v>
      </c>
      <c r="H65">
        <v>7.3850104326986493E-2</v>
      </c>
      <c r="I65">
        <v>300</v>
      </c>
    </row>
    <row r="66" spans="1:9" x14ac:dyDescent="0.3">
      <c r="A66" t="s">
        <v>52</v>
      </c>
      <c r="B66" t="s">
        <v>48</v>
      </c>
      <c r="C66" t="s">
        <v>26</v>
      </c>
      <c r="D66">
        <v>3</v>
      </c>
      <c r="E66">
        <v>2.311239500045303</v>
      </c>
      <c r="F66">
        <v>2.827709799908007</v>
      </c>
      <c r="G66">
        <v>2.4440176966641052</v>
      </c>
      <c r="H66">
        <v>0.66080616509438783</v>
      </c>
      <c r="I66">
        <v>300</v>
      </c>
    </row>
    <row r="67" spans="1:9" x14ac:dyDescent="0.3">
      <c r="A67" t="s">
        <v>52</v>
      </c>
      <c r="B67" t="s">
        <v>33</v>
      </c>
      <c r="C67" t="s">
        <v>53</v>
      </c>
      <c r="D67">
        <v>3</v>
      </c>
      <c r="E67">
        <v>2.8648020000900938</v>
      </c>
      <c r="F67">
        <v>4.3887358001029497</v>
      </c>
      <c r="G67">
        <v>3.0207710133451351</v>
      </c>
      <c r="H67">
        <v>0.50508653427589878</v>
      </c>
      <c r="I67">
        <v>300</v>
      </c>
    </row>
    <row r="68" spans="1:9" x14ac:dyDescent="0.3">
      <c r="A68" t="s">
        <v>52</v>
      </c>
      <c r="B68" t="s">
        <v>27</v>
      </c>
      <c r="C68" t="s">
        <v>53</v>
      </c>
      <c r="D68">
        <v>3</v>
      </c>
      <c r="E68">
        <v>1.6044500000589319</v>
      </c>
      <c r="F68">
        <v>1.8120556000894801</v>
      </c>
      <c r="G68">
        <v>1.621933820005476</v>
      </c>
      <c r="H68">
        <v>0.1171770575752622</v>
      </c>
      <c r="I68">
        <v>300</v>
      </c>
    </row>
    <row r="69" spans="1:9" x14ac:dyDescent="0.3">
      <c r="A69" t="s">
        <v>52</v>
      </c>
      <c r="B69" t="s">
        <v>39</v>
      </c>
      <c r="C69" t="s">
        <v>53</v>
      </c>
      <c r="D69">
        <v>3</v>
      </c>
      <c r="E69">
        <v>1.284182999938821</v>
      </c>
      <c r="F69">
        <v>1.895558349883687</v>
      </c>
      <c r="G69">
        <v>1.3401927600026891</v>
      </c>
      <c r="H69">
        <v>0.2018371152853663</v>
      </c>
      <c r="I69">
        <v>300</v>
      </c>
    </row>
    <row r="70" spans="1:9" x14ac:dyDescent="0.3">
      <c r="A70" t="s">
        <v>52</v>
      </c>
      <c r="B70" t="s">
        <v>36</v>
      </c>
      <c r="C70" t="s">
        <v>53</v>
      </c>
      <c r="D70">
        <v>3</v>
      </c>
      <c r="E70">
        <v>1.2540520000356989</v>
      </c>
      <c r="F70">
        <v>1.4043009500028349</v>
      </c>
      <c r="G70">
        <v>1.2646696266612401</v>
      </c>
      <c r="H70">
        <v>8.4373265131496095E-2</v>
      </c>
      <c r="I70">
        <v>300</v>
      </c>
    </row>
    <row r="71" spans="1:9" x14ac:dyDescent="0.3">
      <c r="A71" t="s">
        <v>52</v>
      </c>
      <c r="B71" t="s">
        <v>42</v>
      </c>
      <c r="C71" t="s">
        <v>53</v>
      </c>
      <c r="D71">
        <v>3</v>
      </c>
      <c r="E71">
        <v>1.104722499917443</v>
      </c>
      <c r="F71">
        <v>1.6887017998442391</v>
      </c>
      <c r="G71">
        <v>1.1728668866711209</v>
      </c>
      <c r="H71">
        <v>0.1804746631565374</v>
      </c>
      <c r="I71">
        <v>300</v>
      </c>
    </row>
    <row r="72" spans="1:9" x14ac:dyDescent="0.3">
      <c r="A72" t="s">
        <v>52</v>
      </c>
      <c r="B72" t="s">
        <v>54</v>
      </c>
      <c r="C72" t="s">
        <v>53</v>
      </c>
      <c r="D72">
        <v>3</v>
      </c>
      <c r="E72">
        <v>1.6906355000401161</v>
      </c>
      <c r="F72">
        <v>2.4048374499102469</v>
      </c>
      <c r="G72">
        <v>1.769264463326484</v>
      </c>
      <c r="H72">
        <v>0.25305495276914092</v>
      </c>
      <c r="I72">
        <v>300</v>
      </c>
    </row>
    <row r="73" spans="1:9" x14ac:dyDescent="0.3">
      <c r="A73" t="s">
        <v>52</v>
      </c>
      <c r="B73" t="s">
        <v>54</v>
      </c>
      <c r="C73" t="s">
        <v>53</v>
      </c>
      <c r="D73">
        <v>4</v>
      </c>
      <c r="E73">
        <v>1.647519999892211</v>
      </c>
      <c r="F73">
        <v>2.0447447501283031</v>
      </c>
      <c r="G73">
        <v>1.7199294833244489</v>
      </c>
      <c r="H73">
        <v>0.2339343551767227</v>
      </c>
      <c r="I73">
        <v>300</v>
      </c>
    </row>
    <row r="74" spans="1:9" x14ac:dyDescent="0.3">
      <c r="A74" t="s">
        <v>52</v>
      </c>
      <c r="B74" t="s">
        <v>45</v>
      </c>
      <c r="C74" t="s">
        <v>53</v>
      </c>
      <c r="D74">
        <v>4</v>
      </c>
      <c r="E74">
        <v>1.150832500115939</v>
      </c>
      <c r="F74">
        <v>1.349407100053668</v>
      </c>
      <c r="G74">
        <v>1.190361469996333</v>
      </c>
      <c r="H74">
        <v>0.1123837764580377</v>
      </c>
      <c r="I74">
        <v>300</v>
      </c>
    </row>
    <row r="75" spans="1:9" x14ac:dyDescent="0.3">
      <c r="A75" t="s">
        <v>52</v>
      </c>
      <c r="B75" t="s">
        <v>42</v>
      </c>
      <c r="C75" t="s">
        <v>53</v>
      </c>
      <c r="D75">
        <v>4</v>
      </c>
      <c r="E75">
        <v>1.1280025000814931</v>
      </c>
      <c r="F75">
        <v>1.722046249994946</v>
      </c>
      <c r="G75">
        <v>1.186247936661857</v>
      </c>
      <c r="H75">
        <v>0.1757178208271116</v>
      </c>
      <c r="I75">
        <v>300</v>
      </c>
    </row>
    <row r="76" spans="1:9" x14ac:dyDescent="0.3">
      <c r="A76" t="s">
        <v>52</v>
      </c>
      <c r="B76" t="s">
        <v>27</v>
      </c>
      <c r="C76" t="s">
        <v>53</v>
      </c>
      <c r="D76">
        <v>4</v>
      </c>
      <c r="E76">
        <v>1.646440499939672</v>
      </c>
      <c r="F76">
        <v>1.9044893000568659</v>
      </c>
      <c r="G76">
        <v>1.67137865999166</v>
      </c>
      <c r="H76">
        <v>0.15756380624255081</v>
      </c>
      <c r="I76">
        <v>300</v>
      </c>
    </row>
    <row r="77" spans="1:9" x14ac:dyDescent="0.3">
      <c r="A77" t="s">
        <v>52</v>
      </c>
      <c r="B77" t="s">
        <v>33</v>
      </c>
      <c r="C77" t="s">
        <v>53</v>
      </c>
      <c r="D77">
        <v>4</v>
      </c>
      <c r="E77">
        <v>3.2844954998836329</v>
      </c>
      <c r="F77">
        <v>4.328442650000853</v>
      </c>
      <c r="G77">
        <v>3.469386266660119</v>
      </c>
      <c r="H77">
        <v>0.47517464051941899</v>
      </c>
      <c r="I77">
        <v>300</v>
      </c>
    </row>
    <row r="78" spans="1:9" x14ac:dyDescent="0.3">
      <c r="A78" t="s">
        <v>52</v>
      </c>
      <c r="B78" t="s">
        <v>39</v>
      </c>
      <c r="C78" t="s">
        <v>53</v>
      </c>
      <c r="D78">
        <v>4</v>
      </c>
      <c r="E78">
        <v>1.6267784999399739</v>
      </c>
      <c r="F78">
        <v>2.2560627999382632</v>
      </c>
      <c r="G78">
        <v>1.730969446657582</v>
      </c>
      <c r="H78">
        <v>0.2431389216049312</v>
      </c>
      <c r="I78">
        <v>300</v>
      </c>
    </row>
    <row r="79" spans="1:9" x14ac:dyDescent="0.3">
      <c r="A79" t="s">
        <v>52</v>
      </c>
      <c r="B79" t="s">
        <v>48</v>
      </c>
      <c r="C79" t="s">
        <v>26</v>
      </c>
      <c r="D79">
        <v>4</v>
      </c>
      <c r="E79">
        <v>2.290527000013753</v>
      </c>
      <c r="F79">
        <v>6.7257440000275892</v>
      </c>
      <c r="G79">
        <v>3.2855415800107339</v>
      </c>
      <c r="H79">
        <v>5.9208266897826523</v>
      </c>
      <c r="I79">
        <v>300</v>
      </c>
    </row>
    <row r="80" spans="1:9" x14ac:dyDescent="0.3">
      <c r="A80" t="s">
        <v>52</v>
      </c>
      <c r="B80" t="s">
        <v>58</v>
      </c>
      <c r="C80" t="s">
        <v>26</v>
      </c>
      <c r="D80">
        <v>4</v>
      </c>
      <c r="E80">
        <v>1.771134500017979</v>
      </c>
      <c r="F80">
        <v>2.138919749961588</v>
      </c>
      <c r="G80">
        <v>1.874321396666498</v>
      </c>
      <c r="H80">
        <v>0.60948883055189074</v>
      </c>
      <c r="I80">
        <v>300</v>
      </c>
    </row>
    <row r="81" spans="1:9" x14ac:dyDescent="0.3">
      <c r="A81" t="s">
        <v>52</v>
      </c>
      <c r="B81" t="s">
        <v>36</v>
      </c>
      <c r="C81" t="s">
        <v>53</v>
      </c>
      <c r="D81">
        <v>4</v>
      </c>
      <c r="E81">
        <v>1.2610795000682631</v>
      </c>
      <c r="F81">
        <v>1.455803199917227</v>
      </c>
      <c r="G81">
        <v>1.28206972333525</v>
      </c>
      <c r="H81">
        <v>0.11647685264389571</v>
      </c>
      <c r="I81">
        <v>300</v>
      </c>
    </row>
    <row r="82" spans="1:9" x14ac:dyDescent="0.3">
      <c r="A82" t="s">
        <v>61</v>
      </c>
      <c r="B82" t="s">
        <v>42</v>
      </c>
      <c r="C82" t="s">
        <v>26</v>
      </c>
      <c r="D82">
        <v>0</v>
      </c>
      <c r="E82">
        <v>0.39565000042784959</v>
      </c>
      <c r="F82">
        <v>0.61543999945570249</v>
      </c>
      <c r="G82">
        <v>0.43174633346400998</v>
      </c>
      <c r="H82">
        <v>0.1009008335511995</v>
      </c>
      <c r="I82">
        <v>300</v>
      </c>
    </row>
    <row r="83" spans="1:9" x14ac:dyDescent="0.3">
      <c r="A83" t="s">
        <v>61</v>
      </c>
      <c r="B83" t="s">
        <v>36</v>
      </c>
      <c r="C83" t="s">
        <v>26</v>
      </c>
      <c r="D83">
        <v>0</v>
      </c>
      <c r="E83">
        <v>0.56639999820617959</v>
      </c>
      <c r="F83">
        <v>0.83478500091587204</v>
      </c>
      <c r="G83">
        <v>0.60572899994440377</v>
      </c>
      <c r="H83">
        <v>0.1080489311768244</v>
      </c>
      <c r="I83">
        <v>300</v>
      </c>
    </row>
    <row r="84" spans="1:9" x14ac:dyDescent="0.3">
      <c r="A84" t="s">
        <v>61</v>
      </c>
      <c r="B84" t="s">
        <v>33</v>
      </c>
      <c r="C84" t="s">
        <v>26</v>
      </c>
      <c r="D84">
        <v>0</v>
      </c>
      <c r="E84">
        <v>0.86085000293678604</v>
      </c>
      <c r="F84">
        <v>1.191030005429639</v>
      </c>
      <c r="G84">
        <v>0.91818100013673165</v>
      </c>
      <c r="H84">
        <v>0.1559477799140305</v>
      </c>
      <c r="I84">
        <v>300</v>
      </c>
    </row>
    <row r="85" spans="1:9" x14ac:dyDescent="0.3">
      <c r="A85" t="s">
        <v>61</v>
      </c>
      <c r="B85" t="s">
        <v>27</v>
      </c>
      <c r="C85" t="s">
        <v>26</v>
      </c>
      <c r="D85">
        <v>0</v>
      </c>
      <c r="E85">
        <v>0.63815000248723663</v>
      </c>
      <c r="F85">
        <v>0.88579999719513591</v>
      </c>
      <c r="G85">
        <v>0.67590400006641482</v>
      </c>
      <c r="H85">
        <v>0.12174060012439759</v>
      </c>
      <c r="I85">
        <v>300</v>
      </c>
    </row>
    <row r="86" spans="1:9" x14ac:dyDescent="0.3">
      <c r="A86" t="s">
        <v>61</v>
      </c>
      <c r="B86" t="s">
        <v>45</v>
      </c>
      <c r="C86" t="s">
        <v>26</v>
      </c>
      <c r="D86">
        <v>0</v>
      </c>
      <c r="E86">
        <v>0.3939999987778719</v>
      </c>
      <c r="F86">
        <v>0.62225500369095255</v>
      </c>
      <c r="G86">
        <v>0.42738366629540298</v>
      </c>
      <c r="H86">
        <v>9.4625109014877903E-2</v>
      </c>
      <c r="I86">
        <v>300</v>
      </c>
    </row>
    <row r="87" spans="1:9" x14ac:dyDescent="0.3">
      <c r="A87" t="s">
        <v>61</v>
      </c>
      <c r="B87" t="s">
        <v>39</v>
      </c>
      <c r="C87" t="s">
        <v>26</v>
      </c>
      <c r="D87">
        <v>0</v>
      </c>
      <c r="E87">
        <v>0.55844999587861821</v>
      </c>
      <c r="F87">
        <v>0.84450499707600102</v>
      </c>
      <c r="G87">
        <v>0.60236733312194701</v>
      </c>
      <c r="H87">
        <v>0.1181264837654991</v>
      </c>
      <c r="I87">
        <v>300</v>
      </c>
    </row>
    <row r="88" spans="1:9" x14ac:dyDescent="0.3">
      <c r="A88" t="s">
        <v>61</v>
      </c>
      <c r="B88" t="s">
        <v>48</v>
      </c>
      <c r="C88" t="s">
        <v>26</v>
      </c>
      <c r="D88">
        <v>0</v>
      </c>
      <c r="E88">
        <v>1.0405000030004889</v>
      </c>
      <c r="F88">
        <v>1.4658950018201731</v>
      </c>
      <c r="G88">
        <v>1.109761999978218</v>
      </c>
      <c r="H88">
        <v>0.1820206642923099</v>
      </c>
      <c r="I88">
        <v>300</v>
      </c>
    </row>
    <row r="89" spans="1:9" x14ac:dyDescent="0.3">
      <c r="A89" t="s">
        <v>61</v>
      </c>
      <c r="B89" t="s">
        <v>33</v>
      </c>
      <c r="C89" t="s">
        <v>26</v>
      </c>
      <c r="D89">
        <v>1</v>
      </c>
      <c r="E89">
        <v>0.85274999582907185</v>
      </c>
      <c r="F89">
        <v>1.138970005922602</v>
      </c>
      <c r="G89">
        <v>0.90383700002954959</v>
      </c>
      <c r="H89">
        <v>0.17940269855536639</v>
      </c>
      <c r="I89">
        <v>300</v>
      </c>
    </row>
    <row r="90" spans="1:9" x14ac:dyDescent="0.3">
      <c r="A90" t="s">
        <v>61</v>
      </c>
      <c r="B90" t="s">
        <v>27</v>
      </c>
      <c r="C90" t="s">
        <v>26</v>
      </c>
      <c r="D90">
        <v>1</v>
      </c>
      <c r="E90">
        <v>0.62194999918574467</v>
      </c>
      <c r="F90">
        <v>0.95389000125578605</v>
      </c>
      <c r="G90">
        <v>0.66951066667873727</v>
      </c>
      <c r="H90">
        <v>0.13034872828416499</v>
      </c>
      <c r="I90">
        <v>300</v>
      </c>
    </row>
    <row r="91" spans="1:9" x14ac:dyDescent="0.3">
      <c r="A91" t="s">
        <v>61</v>
      </c>
      <c r="B91" t="s">
        <v>42</v>
      </c>
      <c r="C91" t="s">
        <v>26</v>
      </c>
      <c r="D91">
        <v>1</v>
      </c>
      <c r="E91">
        <v>0.38464999670395628</v>
      </c>
      <c r="F91">
        <v>0.59170999593334295</v>
      </c>
      <c r="G91">
        <v>0.41711233306462719</v>
      </c>
      <c r="H91">
        <v>0.1338443890195746</v>
      </c>
      <c r="I91">
        <v>300</v>
      </c>
    </row>
    <row r="92" spans="1:9" x14ac:dyDescent="0.3">
      <c r="A92" t="s">
        <v>61</v>
      </c>
      <c r="B92" t="s">
        <v>45</v>
      </c>
      <c r="C92" t="s">
        <v>26</v>
      </c>
      <c r="D92">
        <v>1</v>
      </c>
      <c r="E92">
        <v>0.40559999979450367</v>
      </c>
      <c r="F92">
        <v>0.6459349962824491</v>
      </c>
      <c r="G92">
        <v>0.43912433320656419</v>
      </c>
      <c r="H92">
        <v>0.1104840248442</v>
      </c>
      <c r="I92">
        <v>300</v>
      </c>
    </row>
    <row r="93" spans="1:9" x14ac:dyDescent="0.3">
      <c r="A93" t="s">
        <v>61</v>
      </c>
      <c r="B93" t="s">
        <v>48</v>
      </c>
      <c r="C93" t="s">
        <v>26</v>
      </c>
      <c r="D93">
        <v>1</v>
      </c>
      <c r="E93">
        <v>1.0620000030030501</v>
      </c>
      <c r="F93">
        <v>1.399725000737817</v>
      </c>
      <c r="G93">
        <v>1.12251933341516</v>
      </c>
      <c r="H93">
        <v>0.1727170592834418</v>
      </c>
      <c r="I93">
        <v>300</v>
      </c>
    </row>
    <row r="94" spans="1:9" x14ac:dyDescent="0.3">
      <c r="A94" t="s">
        <v>61</v>
      </c>
      <c r="B94" t="s">
        <v>36</v>
      </c>
      <c r="C94" t="s">
        <v>26</v>
      </c>
      <c r="D94">
        <v>1</v>
      </c>
      <c r="E94">
        <v>0.56984999901033007</v>
      </c>
      <c r="F94">
        <v>0.83713999956671614</v>
      </c>
      <c r="G94">
        <v>0.61445733360111865</v>
      </c>
      <c r="H94">
        <v>0.1293752019900842</v>
      </c>
      <c r="I94">
        <v>300</v>
      </c>
    </row>
    <row r="95" spans="1:9" x14ac:dyDescent="0.3">
      <c r="A95" t="s">
        <v>61</v>
      </c>
      <c r="B95" t="s">
        <v>39</v>
      </c>
      <c r="C95" t="s">
        <v>26</v>
      </c>
      <c r="D95">
        <v>1</v>
      </c>
      <c r="E95">
        <v>0.56769999719108455</v>
      </c>
      <c r="F95">
        <v>0.84357499581528839</v>
      </c>
      <c r="G95">
        <v>0.60873233330009191</v>
      </c>
      <c r="H95">
        <v>0.12657828574995869</v>
      </c>
      <c r="I95">
        <v>300</v>
      </c>
    </row>
    <row r="96" spans="1:9" x14ac:dyDescent="0.3">
      <c r="A96" t="s">
        <v>61</v>
      </c>
      <c r="B96" t="s">
        <v>48</v>
      </c>
      <c r="C96" t="s">
        <v>26</v>
      </c>
      <c r="D96">
        <v>2</v>
      </c>
      <c r="E96">
        <v>1.0682500032999089</v>
      </c>
      <c r="F96">
        <v>1.46155500151508</v>
      </c>
      <c r="G96">
        <v>1.1370803334284569</v>
      </c>
      <c r="H96">
        <v>0.2228803333014894</v>
      </c>
      <c r="I96">
        <v>300</v>
      </c>
    </row>
    <row r="97" spans="1:9" x14ac:dyDescent="0.3">
      <c r="A97" t="s">
        <v>61</v>
      </c>
      <c r="B97" t="s">
        <v>39</v>
      </c>
      <c r="C97" t="s">
        <v>26</v>
      </c>
      <c r="D97">
        <v>2</v>
      </c>
      <c r="E97">
        <v>0.56060000133584253</v>
      </c>
      <c r="F97">
        <v>0.92916000248806085</v>
      </c>
      <c r="G97">
        <v>0.62130000015410281</v>
      </c>
      <c r="H97">
        <v>0.1608115718189787</v>
      </c>
      <c r="I97">
        <v>300</v>
      </c>
    </row>
    <row r="98" spans="1:9" x14ac:dyDescent="0.3">
      <c r="A98" t="s">
        <v>61</v>
      </c>
      <c r="B98" t="s">
        <v>27</v>
      </c>
      <c r="C98" t="s">
        <v>26</v>
      </c>
      <c r="D98">
        <v>2</v>
      </c>
      <c r="E98">
        <v>0.62975000037113205</v>
      </c>
      <c r="F98">
        <v>0.95822499861242239</v>
      </c>
      <c r="G98">
        <v>0.68359866655858548</v>
      </c>
      <c r="H98">
        <v>0.1611518245966094</v>
      </c>
      <c r="I98">
        <v>300</v>
      </c>
    </row>
    <row r="99" spans="1:9" x14ac:dyDescent="0.3">
      <c r="A99" t="s">
        <v>61</v>
      </c>
      <c r="B99" t="s">
        <v>45</v>
      </c>
      <c r="C99" t="s">
        <v>26</v>
      </c>
      <c r="D99">
        <v>2</v>
      </c>
      <c r="E99">
        <v>0.39419999666279182</v>
      </c>
      <c r="F99">
        <v>0.62295500647451285</v>
      </c>
      <c r="G99">
        <v>0.4263673334450383</v>
      </c>
      <c r="H99">
        <v>0.1144029838468836</v>
      </c>
      <c r="I99">
        <v>300</v>
      </c>
    </row>
    <row r="100" spans="1:9" x14ac:dyDescent="0.3">
      <c r="A100" t="s">
        <v>61</v>
      </c>
      <c r="B100" t="s">
        <v>36</v>
      </c>
      <c r="C100" t="s">
        <v>26</v>
      </c>
      <c r="D100">
        <v>2</v>
      </c>
      <c r="E100">
        <v>0.56879999829106964</v>
      </c>
      <c r="F100">
        <v>0.84539999734261073</v>
      </c>
      <c r="G100">
        <v>0.6133366668897603</v>
      </c>
      <c r="H100">
        <v>0.15526171256717089</v>
      </c>
      <c r="I100">
        <v>300</v>
      </c>
    </row>
    <row r="101" spans="1:9" x14ac:dyDescent="0.3">
      <c r="A101" t="s">
        <v>61</v>
      </c>
      <c r="B101" t="s">
        <v>33</v>
      </c>
      <c r="C101" t="s">
        <v>26</v>
      </c>
      <c r="D101">
        <v>2</v>
      </c>
      <c r="E101">
        <v>0.84714999684365466</v>
      </c>
      <c r="F101">
        <v>1.1133399984828429</v>
      </c>
      <c r="G101">
        <v>0.89531700007986126</v>
      </c>
      <c r="H101">
        <v>0.15907109343982981</v>
      </c>
      <c r="I101">
        <v>300</v>
      </c>
    </row>
    <row r="102" spans="1:9" x14ac:dyDescent="0.3">
      <c r="A102" t="s">
        <v>61</v>
      </c>
      <c r="B102" t="s">
        <v>42</v>
      </c>
      <c r="C102" t="s">
        <v>26</v>
      </c>
      <c r="D102">
        <v>2</v>
      </c>
      <c r="E102">
        <v>0.39784999898984091</v>
      </c>
      <c r="F102">
        <v>0.64640000200597569</v>
      </c>
      <c r="G102">
        <v>0.4365246669476619</v>
      </c>
      <c r="H102">
        <v>0.116223621967254</v>
      </c>
      <c r="I102">
        <v>300</v>
      </c>
    </row>
    <row r="103" spans="1:9" x14ac:dyDescent="0.3">
      <c r="A103" t="s">
        <v>61</v>
      </c>
      <c r="B103" t="s">
        <v>36</v>
      </c>
      <c r="C103" t="s">
        <v>26</v>
      </c>
      <c r="D103">
        <v>3</v>
      </c>
      <c r="E103">
        <v>0.55950000023585744</v>
      </c>
      <c r="F103">
        <v>0.85584999869752232</v>
      </c>
      <c r="G103">
        <v>0.61461200006306171</v>
      </c>
      <c r="H103">
        <v>0.156266307902236</v>
      </c>
      <c r="I103">
        <v>300</v>
      </c>
    </row>
    <row r="104" spans="1:9" x14ac:dyDescent="0.3">
      <c r="A104" t="s">
        <v>61</v>
      </c>
      <c r="B104" t="s">
        <v>27</v>
      </c>
      <c r="C104" t="s">
        <v>26</v>
      </c>
      <c r="D104">
        <v>3</v>
      </c>
      <c r="E104">
        <v>0.63005000265548006</v>
      </c>
      <c r="F104">
        <v>0.91161499767622456</v>
      </c>
      <c r="G104">
        <v>0.6903336665709503</v>
      </c>
      <c r="H104">
        <v>0.179130417387734</v>
      </c>
      <c r="I104">
        <v>300</v>
      </c>
    </row>
    <row r="105" spans="1:9" x14ac:dyDescent="0.3">
      <c r="A105" t="s">
        <v>61</v>
      </c>
      <c r="B105" t="s">
        <v>39</v>
      </c>
      <c r="C105" t="s">
        <v>26</v>
      </c>
      <c r="D105">
        <v>3</v>
      </c>
      <c r="E105">
        <v>0.56454999867128208</v>
      </c>
      <c r="F105">
        <v>0.7768099989334587</v>
      </c>
      <c r="G105">
        <v>0.5934596668521408</v>
      </c>
      <c r="H105">
        <v>8.0512773878020499E-2</v>
      </c>
      <c r="I105">
        <v>300</v>
      </c>
    </row>
    <row r="106" spans="1:9" x14ac:dyDescent="0.3">
      <c r="A106" t="s">
        <v>61</v>
      </c>
      <c r="B106" t="s">
        <v>33</v>
      </c>
      <c r="C106" t="s">
        <v>26</v>
      </c>
      <c r="D106">
        <v>3</v>
      </c>
      <c r="E106">
        <v>0.84475000039674342</v>
      </c>
      <c r="F106">
        <v>1.152929996897001</v>
      </c>
      <c r="G106">
        <v>0.89572799986247753</v>
      </c>
      <c r="H106">
        <v>0.13810339793747101</v>
      </c>
      <c r="I106">
        <v>300</v>
      </c>
    </row>
    <row r="107" spans="1:9" x14ac:dyDescent="0.3">
      <c r="A107" t="s">
        <v>61</v>
      </c>
      <c r="B107" t="s">
        <v>48</v>
      </c>
      <c r="C107" t="s">
        <v>26</v>
      </c>
      <c r="D107">
        <v>3</v>
      </c>
      <c r="E107">
        <v>1.063300001987955</v>
      </c>
      <c r="F107">
        <v>1.4118950031843269</v>
      </c>
      <c r="G107">
        <v>1.1196936668905739</v>
      </c>
      <c r="H107">
        <v>0.1507095633602703</v>
      </c>
      <c r="I107">
        <v>300</v>
      </c>
    </row>
    <row r="108" spans="1:9" x14ac:dyDescent="0.3">
      <c r="A108" t="s">
        <v>61</v>
      </c>
      <c r="B108" t="s">
        <v>45</v>
      </c>
      <c r="C108" t="s">
        <v>26</v>
      </c>
      <c r="D108">
        <v>3</v>
      </c>
      <c r="E108">
        <v>0.4085000000486616</v>
      </c>
      <c r="F108">
        <v>0.66242500033695251</v>
      </c>
      <c r="G108">
        <v>0.44033899980907631</v>
      </c>
      <c r="H108">
        <v>0.1118369287285808</v>
      </c>
      <c r="I108">
        <v>300</v>
      </c>
    </row>
    <row r="109" spans="1:9" x14ac:dyDescent="0.3">
      <c r="A109" t="s">
        <v>61</v>
      </c>
      <c r="B109" t="s">
        <v>42</v>
      </c>
      <c r="C109" t="s">
        <v>26</v>
      </c>
      <c r="D109">
        <v>3</v>
      </c>
      <c r="E109">
        <v>0.3938500012736767</v>
      </c>
      <c r="F109">
        <v>0.67038499983027589</v>
      </c>
      <c r="G109">
        <v>0.43264633330788149</v>
      </c>
      <c r="H109">
        <v>0.1173960943317377</v>
      </c>
      <c r="I109">
        <v>300</v>
      </c>
    </row>
    <row r="110" spans="1:9" x14ac:dyDescent="0.3">
      <c r="A110" t="s">
        <v>61</v>
      </c>
      <c r="B110" t="s">
        <v>33</v>
      </c>
      <c r="C110" t="s">
        <v>26</v>
      </c>
      <c r="D110">
        <v>4</v>
      </c>
      <c r="E110">
        <v>0.85229999604052864</v>
      </c>
      <c r="F110">
        <v>1.157210000383202</v>
      </c>
      <c r="G110">
        <v>0.90398833349657559</v>
      </c>
      <c r="H110">
        <v>0.1471961873472642</v>
      </c>
      <c r="I110">
        <v>300</v>
      </c>
    </row>
    <row r="111" spans="1:9" x14ac:dyDescent="0.3">
      <c r="A111" t="s">
        <v>61</v>
      </c>
      <c r="B111" t="s">
        <v>48</v>
      </c>
      <c r="C111" t="s">
        <v>26</v>
      </c>
      <c r="D111">
        <v>4</v>
      </c>
      <c r="E111">
        <v>1.050900002155686</v>
      </c>
      <c r="F111">
        <v>1.489214998218813</v>
      </c>
      <c r="G111">
        <v>1.1291430002165721</v>
      </c>
      <c r="H111">
        <v>0.19939920085685001</v>
      </c>
      <c r="I111">
        <v>300</v>
      </c>
    </row>
    <row r="112" spans="1:9" x14ac:dyDescent="0.3">
      <c r="A112" t="s">
        <v>61</v>
      </c>
      <c r="B112" t="s">
        <v>42</v>
      </c>
      <c r="C112" t="s">
        <v>26</v>
      </c>
      <c r="D112">
        <v>4</v>
      </c>
      <c r="E112">
        <v>0.40620000072522089</v>
      </c>
      <c r="F112">
        <v>0.62550499678764049</v>
      </c>
      <c r="G112">
        <v>0.43887333328408812</v>
      </c>
      <c r="H112">
        <v>9.5086746333136393E-2</v>
      </c>
      <c r="I112">
        <v>300</v>
      </c>
    </row>
    <row r="113" spans="1:9" x14ac:dyDescent="0.3">
      <c r="A113" t="s">
        <v>61</v>
      </c>
      <c r="B113" t="s">
        <v>39</v>
      </c>
      <c r="C113" t="s">
        <v>26</v>
      </c>
      <c r="D113">
        <v>4</v>
      </c>
      <c r="E113">
        <v>0.56665000010980293</v>
      </c>
      <c r="F113">
        <v>0.85853500240773428</v>
      </c>
      <c r="G113">
        <v>0.61022100041251781</v>
      </c>
      <c r="H113">
        <v>0.1331958962886409</v>
      </c>
      <c r="I113">
        <v>300</v>
      </c>
    </row>
    <row r="114" spans="1:9" x14ac:dyDescent="0.3">
      <c r="A114" t="s">
        <v>61</v>
      </c>
      <c r="B114" t="s">
        <v>36</v>
      </c>
      <c r="C114" t="s">
        <v>26</v>
      </c>
      <c r="D114">
        <v>4</v>
      </c>
      <c r="E114">
        <v>0.57219999871449545</v>
      </c>
      <c r="F114">
        <v>0.86225999802991293</v>
      </c>
      <c r="G114">
        <v>0.62307233340106905</v>
      </c>
      <c r="H114">
        <v>0.1318845789601395</v>
      </c>
      <c r="I114">
        <v>300</v>
      </c>
    </row>
    <row r="115" spans="1:9" x14ac:dyDescent="0.3">
      <c r="A115" t="s">
        <v>61</v>
      </c>
      <c r="B115" t="s">
        <v>27</v>
      </c>
      <c r="C115" t="s">
        <v>26</v>
      </c>
      <c r="D115">
        <v>4</v>
      </c>
      <c r="E115">
        <v>0.62835000062477775</v>
      </c>
      <c r="F115">
        <v>0.91499999653024122</v>
      </c>
      <c r="G115">
        <v>0.66884233334955445</v>
      </c>
      <c r="H115">
        <v>0.1162824578718053</v>
      </c>
      <c r="I115">
        <v>300</v>
      </c>
    </row>
    <row r="116" spans="1:9" x14ac:dyDescent="0.3">
      <c r="A116" t="s">
        <v>61</v>
      </c>
      <c r="B116" t="s">
        <v>45</v>
      </c>
      <c r="C116" t="s">
        <v>26</v>
      </c>
      <c r="D116">
        <v>4</v>
      </c>
      <c r="E116">
        <v>0.3910500017809681</v>
      </c>
      <c r="F116">
        <v>0.60823499843536433</v>
      </c>
      <c r="G116">
        <v>0.42949566670965089</v>
      </c>
      <c r="H116">
        <v>0.13796320142603591</v>
      </c>
      <c r="I116">
        <v>300</v>
      </c>
    </row>
    <row r="117" spans="1:9" x14ac:dyDescent="0.3">
      <c r="A117" t="s">
        <v>63</v>
      </c>
      <c r="B117" t="s">
        <v>58</v>
      </c>
      <c r="C117" t="s">
        <v>26</v>
      </c>
      <c r="D117">
        <v>0</v>
      </c>
      <c r="E117">
        <v>1.67548500007797</v>
      </c>
      <c r="F117">
        <v>2.0583556000360659</v>
      </c>
      <c r="G117">
        <v>1.7231359499995349</v>
      </c>
      <c r="H117">
        <v>0.2627413397300859</v>
      </c>
      <c r="I117">
        <v>300</v>
      </c>
    </row>
    <row r="118" spans="1:9" x14ac:dyDescent="0.3">
      <c r="A118" t="s">
        <v>63</v>
      </c>
      <c r="B118" t="s">
        <v>42</v>
      </c>
      <c r="C118" t="s">
        <v>53</v>
      </c>
      <c r="D118">
        <v>0</v>
      </c>
      <c r="E118">
        <v>1.12917199999174</v>
      </c>
      <c r="F118">
        <v>1.2395612501450159</v>
      </c>
      <c r="G118">
        <v>1.1405920666584279</v>
      </c>
      <c r="H118">
        <v>5.5973784663057601E-2</v>
      </c>
      <c r="I118">
        <v>300</v>
      </c>
    </row>
    <row r="119" spans="1:9" x14ac:dyDescent="0.3">
      <c r="A119" t="s">
        <v>63</v>
      </c>
      <c r="B119" t="s">
        <v>54</v>
      </c>
      <c r="C119" t="s">
        <v>53</v>
      </c>
      <c r="D119">
        <v>0</v>
      </c>
      <c r="E119">
        <v>1.5590885001302011</v>
      </c>
      <c r="F119">
        <v>1.8430305499691719</v>
      </c>
      <c r="G119">
        <v>1.606636466668381</v>
      </c>
      <c r="H119">
        <v>0.19138731992501529</v>
      </c>
      <c r="I119">
        <v>300</v>
      </c>
    </row>
    <row r="120" spans="1:9" x14ac:dyDescent="0.3">
      <c r="A120" t="s">
        <v>63</v>
      </c>
      <c r="B120" t="s">
        <v>36</v>
      </c>
      <c r="C120" t="s">
        <v>53</v>
      </c>
      <c r="D120">
        <v>0</v>
      </c>
      <c r="E120">
        <v>1.1171620000141049</v>
      </c>
      <c r="F120">
        <v>1.2716376000298619</v>
      </c>
      <c r="G120">
        <v>1.1544855933334479</v>
      </c>
      <c r="H120">
        <v>0.1128411499783567</v>
      </c>
      <c r="I120">
        <v>300</v>
      </c>
    </row>
    <row r="121" spans="1:9" x14ac:dyDescent="0.3">
      <c r="A121" t="s">
        <v>63</v>
      </c>
      <c r="B121" t="s">
        <v>39</v>
      </c>
      <c r="C121" t="s">
        <v>53</v>
      </c>
      <c r="D121">
        <v>0</v>
      </c>
      <c r="E121">
        <v>1.2242110000215689</v>
      </c>
      <c r="F121">
        <v>1.923450200058596</v>
      </c>
      <c r="G121">
        <v>1.2987519033314741</v>
      </c>
      <c r="H121">
        <v>0.2232514778017565</v>
      </c>
      <c r="I121">
        <v>300</v>
      </c>
    </row>
    <row r="122" spans="1:9" x14ac:dyDescent="0.3">
      <c r="A122" t="s">
        <v>63</v>
      </c>
      <c r="B122" t="s">
        <v>33</v>
      </c>
      <c r="C122" t="s">
        <v>53</v>
      </c>
      <c r="D122">
        <v>0</v>
      </c>
      <c r="E122">
        <v>2.5729484999601482</v>
      </c>
      <c r="F122">
        <v>3.155397300156439</v>
      </c>
      <c r="G122">
        <v>2.637437473338196</v>
      </c>
      <c r="H122">
        <v>0.29915493403722121</v>
      </c>
      <c r="I122">
        <v>300</v>
      </c>
    </row>
    <row r="123" spans="1:9" x14ac:dyDescent="0.3">
      <c r="A123" t="s">
        <v>63</v>
      </c>
      <c r="B123" t="s">
        <v>27</v>
      </c>
      <c r="C123" t="s">
        <v>53</v>
      </c>
      <c r="D123">
        <v>0</v>
      </c>
      <c r="E123">
        <v>1.5304144999390701</v>
      </c>
      <c r="F123">
        <v>1.734377550053523</v>
      </c>
      <c r="G123">
        <v>1.549311736669855</v>
      </c>
      <c r="H123">
        <v>0.1119553956062305</v>
      </c>
      <c r="I123">
        <v>300</v>
      </c>
    </row>
    <row r="124" spans="1:9" x14ac:dyDescent="0.3">
      <c r="A124" t="s">
        <v>63</v>
      </c>
      <c r="B124" t="s">
        <v>48</v>
      </c>
      <c r="C124" t="s">
        <v>26</v>
      </c>
      <c r="D124">
        <v>0</v>
      </c>
      <c r="E124">
        <v>2.1834179999586918</v>
      </c>
      <c r="F124">
        <v>2.667295250023471</v>
      </c>
      <c r="G124">
        <v>2.2937208666705069</v>
      </c>
      <c r="H124">
        <v>0.70567211912348649</v>
      </c>
      <c r="I124">
        <v>300</v>
      </c>
    </row>
    <row r="125" spans="1:9" x14ac:dyDescent="0.3">
      <c r="A125" t="s">
        <v>63</v>
      </c>
      <c r="B125" t="s">
        <v>45</v>
      </c>
      <c r="C125" t="s">
        <v>53</v>
      </c>
      <c r="D125">
        <v>0</v>
      </c>
      <c r="E125">
        <v>1.1540374999867711</v>
      </c>
      <c r="F125">
        <v>1.276248149963521</v>
      </c>
      <c r="G125">
        <v>1.1612911933404271</v>
      </c>
      <c r="H125">
        <v>6.4739743904990002E-2</v>
      </c>
      <c r="I125">
        <v>300</v>
      </c>
    </row>
    <row r="126" spans="1:9" x14ac:dyDescent="0.3">
      <c r="A126" t="s">
        <v>63</v>
      </c>
      <c r="B126" t="s">
        <v>33</v>
      </c>
      <c r="C126" t="s">
        <v>53</v>
      </c>
      <c r="D126">
        <v>1</v>
      </c>
      <c r="E126">
        <v>2.7220834999752701</v>
      </c>
      <c r="F126">
        <v>4.2847383999514932</v>
      </c>
      <c r="G126">
        <v>2.977484276674053</v>
      </c>
      <c r="H126">
        <v>0.60766983977030742</v>
      </c>
      <c r="I126">
        <v>300</v>
      </c>
    </row>
    <row r="127" spans="1:9" x14ac:dyDescent="0.3">
      <c r="A127" t="s">
        <v>63</v>
      </c>
      <c r="B127" t="s">
        <v>27</v>
      </c>
      <c r="C127" t="s">
        <v>53</v>
      </c>
      <c r="D127">
        <v>1</v>
      </c>
      <c r="E127">
        <v>1.8864289999100949</v>
      </c>
      <c r="F127">
        <v>2.5877950999642971</v>
      </c>
      <c r="G127">
        <v>1.986696119985633</v>
      </c>
      <c r="H127">
        <v>0.3066591895326955</v>
      </c>
      <c r="I127">
        <v>300</v>
      </c>
    </row>
    <row r="128" spans="1:9" x14ac:dyDescent="0.3">
      <c r="A128" t="s">
        <v>63</v>
      </c>
      <c r="B128" t="s">
        <v>36</v>
      </c>
      <c r="C128" t="s">
        <v>53</v>
      </c>
      <c r="D128">
        <v>1</v>
      </c>
      <c r="E128">
        <v>1.539049499911016</v>
      </c>
      <c r="F128">
        <v>1.925759549965278</v>
      </c>
      <c r="G128">
        <v>1.612120829993273</v>
      </c>
      <c r="H128">
        <v>0.316886706872688</v>
      </c>
      <c r="I128">
        <v>300</v>
      </c>
    </row>
    <row r="129" spans="1:9" x14ac:dyDescent="0.3">
      <c r="A129" t="s">
        <v>63</v>
      </c>
      <c r="B129" t="s">
        <v>48</v>
      </c>
      <c r="C129" t="s">
        <v>26</v>
      </c>
      <c r="D129">
        <v>1</v>
      </c>
      <c r="E129">
        <v>4.1974590000108947</v>
      </c>
      <c r="F129">
        <v>8.1916530499711371</v>
      </c>
      <c r="G129">
        <v>4.5212653599871073</v>
      </c>
      <c r="H129">
        <v>3.2602646723649258</v>
      </c>
      <c r="I129">
        <v>300</v>
      </c>
    </row>
    <row r="130" spans="1:9" x14ac:dyDescent="0.3">
      <c r="A130" t="s">
        <v>63</v>
      </c>
      <c r="B130" t="s">
        <v>45</v>
      </c>
      <c r="C130" t="s">
        <v>53</v>
      </c>
      <c r="D130">
        <v>1</v>
      </c>
      <c r="E130">
        <v>1.1811265000005731</v>
      </c>
      <c r="F130">
        <v>1.446670049904242</v>
      </c>
      <c r="G130">
        <v>1.2193668066682519</v>
      </c>
      <c r="H130">
        <v>0.1452772713093457</v>
      </c>
      <c r="I130">
        <v>300</v>
      </c>
    </row>
    <row r="131" spans="1:9" x14ac:dyDescent="0.3">
      <c r="A131" t="s">
        <v>63</v>
      </c>
      <c r="B131" t="s">
        <v>54</v>
      </c>
      <c r="C131" t="s">
        <v>53</v>
      </c>
      <c r="D131">
        <v>1</v>
      </c>
      <c r="E131">
        <v>1.6411335000157119</v>
      </c>
      <c r="F131">
        <v>1.7900735999091919</v>
      </c>
      <c r="G131">
        <v>1.6470755799991821</v>
      </c>
      <c r="H131">
        <v>8.5322218246606199E-2</v>
      </c>
      <c r="I131">
        <v>300</v>
      </c>
    </row>
    <row r="132" spans="1:9" x14ac:dyDescent="0.3">
      <c r="A132" t="s">
        <v>63</v>
      </c>
      <c r="B132" t="s">
        <v>39</v>
      </c>
      <c r="C132" t="s">
        <v>53</v>
      </c>
      <c r="D132">
        <v>1</v>
      </c>
      <c r="E132">
        <v>1.2352295000255249</v>
      </c>
      <c r="F132">
        <v>1.512383800047701</v>
      </c>
      <c r="G132">
        <v>1.2778920866677861</v>
      </c>
      <c r="H132">
        <v>0.14192053573046801</v>
      </c>
      <c r="I132">
        <v>300</v>
      </c>
    </row>
    <row r="133" spans="1:9" x14ac:dyDescent="0.3">
      <c r="A133" t="s">
        <v>63</v>
      </c>
      <c r="B133" t="s">
        <v>42</v>
      </c>
      <c r="C133" t="s">
        <v>53</v>
      </c>
      <c r="D133">
        <v>1</v>
      </c>
      <c r="E133">
        <v>1.158131000011053</v>
      </c>
      <c r="F133">
        <v>1.273593149892349</v>
      </c>
      <c r="G133">
        <v>1.1694366933344711</v>
      </c>
      <c r="H133">
        <v>5.6546332038285997E-2</v>
      </c>
      <c r="I133">
        <v>300</v>
      </c>
    </row>
    <row r="134" spans="1:9" x14ac:dyDescent="0.3">
      <c r="A134" t="s">
        <v>63</v>
      </c>
      <c r="B134" t="s">
        <v>58</v>
      </c>
      <c r="C134" t="s">
        <v>26</v>
      </c>
      <c r="D134">
        <v>1</v>
      </c>
      <c r="E134">
        <v>1.7043044999809349</v>
      </c>
      <c r="F134">
        <v>2.0325979999938681</v>
      </c>
      <c r="G134">
        <v>1.7406138000039091</v>
      </c>
      <c r="H134">
        <v>0.21375218444184749</v>
      </c>
      <c r="I134">
        <v>300</v>
      </c>
    </row>
    <row r="135" spans="1:9" x14ac:dyDescent="0.3">
      <c r="A135" t="s">
        <v>63</v>
      </c>
      <c r="B135" t="s">
        <v>33</v>
      </c>
      <c r="C135" t="s">
        <v>53</v>
      </c>
      <c r="D135">
        <v>2</v>
      </c>
      <c r="E135">
        <v>2.612363000139339</v>
      </c>
      <c r="F135">
        <v>2.9728444500278779</v>
      </c>
      <c r="G135">
        <v>2.643686426668713</v>
      </c>
      <c r="H135">
        <v>0.2002985043953239</v>
      </c>
      <c r="I135">
        <v>300</v>
      </c>
    </row>
    <row r="136" spans="1:9" x14ac:dyDescent="0.3">
      <c r="A136" t="s">
        <v>63</v>
      </c>
      <c r="B136" t="s">
        <v>27</v>
      </c>
      <c r="C136" t="s">
        <v>53</v>
      </c>
      <c r="D136">
        <v>2</v>
      </c>
      <c r="E136">
        <v>1.4398720001054239</v>
      </c>
      <c r="F136">
        <v>2.0452731501222838</v>
      </c>
      <c r="G136">
        <v>1.512482106665326</v>
      </c>
      <c r="H136">
        <v>0.22797160764436181</v>
      </c>
      <c r="I136">
        <v>300</v>
      </c>
    </row>
    <row r="137" spans="1:9" x14ac:dyDescent="0.3">
      <c r="A137" t="s">
        <v>63</v>
      </c>
      <c r="B137" t="s">
        <v>36</v>
      </c>
      <c r="C137" t="s">
        <v>53</v>
      </c>
      <c r="D137">
        <v>2</v>
      </c>
      <c r="E137">
        <v>1.19481149999956</v>
      </c>
      <c r="F137">
        <v>1.347692499950881</v>
      </c>
      <c r="G137">
        <v>1.2036658966621869</v>
      </c>
      <c r="H137">
        <v>0.1081049897469757</v>
      </c>
      <c r="I137">
        <v>300</v>
      </c>
    </row>
    <row r="138" spans="1:9" x14ac:dyDescent="0.3">
      <c r="A138" t="s">
        <v>63</v>
      </c>
      <c r="B138" t="s">
        <v>48</v>
      </c>
      <c r="C138" t="s">
        <v>26</v>
      </c>
      <c r="D138">
        <v>2</v>
      </c>
      <c r="E138">
        <v>2.1635830000832361</v>
      </c>
      <c r="F138">
        <v>2.4823939000043538</v>
      </c>
      <c r="G138">
        <v>2.269915886661996</v>
      </c>
      <c r="H138">
        <v>0.64691869016037717</v>
      </c>
      <c r="I138">
        <v>300</v>
      </c>
    </row>
    <row r="139" spans="1:9" x14ac:dyDescent="0.3">
      <c r="A139" t="s">
        <v>63</v>
      </c>
      <c r="B139" t="s">
        <v>45</v>
      </c>
      <c r="C139" t="s">
        <v>53</v>
      </c>
      <c r="D139">
        <v>2</v>
      </c>
      <c r="E139">
        <v>1.0781705000226789</v>
      </c>
      <c r="F139">
        <v>1.2232589500854369</v>
      </c>
      <c r="G139">
        <v>1.1069723866701979</v>
      </c>
      <c r="H139">
        <v>9.7509703108558804E-2</v>
      </c>
      <c r="I139">
        <v>300</v>
      </c>
    </row>
    <row r="140" spans="1:9" x14ac:dyDescent="0.3">
      <c r="A140" t="s">
        <v>63</v>
      </c>
      <c r="B140" t="s">
        <v>42</v>
      </c>
      <c r="C140" t="s">
        <v>53</v>
      </c>
      <c r="D140">
        <v>2</v>
      </c>
      <c r="E140">
        <v>1.124485499872208</v>
      </c>
      <c r="F140">
        <v>1.232120400050007</v>
      </c>
      <c r="G140">
        <v>1.129647646669885</v>
      </c>
      <c r="H140">
        <v>6.0296152383506003E-2</v>
      </c>
      <c r="I140">
        <v>300</v>
      </c>
    </row>
    <row r="141" spans="1:9" x14ac:dyDescent="0.3">
      <c r="A141" t="s">
        <v>63</v>
      </c>
      <c r="B141" t="s">
        <v>58</v>
      </c>
      <c r="C141" t="s">
        <v>26</v>
      </c>
      <c r="D141">
        <v>2</v>
      </c>
      <c r="E141">
        <v>1.689109500034647</v>
      </c>
      <c r="F141">
        <v>1.9476787001735829</v>
      </c>
      <c r="G141">
        <v>1.710423733323599</v>
      </c>
      <c r="H141">
        <v>0.19826239071417689</v>
      </c>
      <c r="I141">
        <v>300</v>
      </c>
    </row>
    <row r="142" spans="1:9" x14ac:dyDescent="0.3">
      <c r="A142" t="s">
        <v>63</v>
      </c>
      <c r="B142" t="s">
        <v>39</v>
      </c>
      <c r="C142" t="s">
        <v>53</v>
      </c>
      <c r="D142">
        <v>2</v>
      </c>
      <c r="E142">
        <v>1.176961499936624</v>
      </c>
      <c r="F142">
        <v>1.2807553999778061</v>
      </c>
      <c r="G142">
        <v>1.1774523833385799</v>
      </c>
      <c r="H142">
        <v>6.3240189104629793E-2</v>
      </c>
      <c r="I142">
        <v>300</v>
      </c>
    </row>
    <row r="143" spans="1:9" x14ac:dyDescent="0.3">
      <c r="A143" t="s">
        <v>63</v>
      </c>
      <c r="B143" t="s">
        <v>54</v>
      </c>
      <c r="C143" t="s">
        <v>53</v>
      </c>
      <c r="D143">
        <v>2</v>
      </c>
      <c r="E143">
        <v>1.6218260000186999</v>
      </c>
      <c r="F143">
        <v>1.88901649988793</v>
      </c>
      <c r="G143">
        <v>1.6483764933294269</v>
      </c>
      <c r="H143">
        <v>0.1484050585654218</v>
      </c>
      <c r="I143">
        <v>300</v>
      </c>
    </row>
    <row r="144" spans="1:9" x14ac:dyDescent="0.3">
      <c r="A144" t="s">
        <v>63</v>
      </c>
      <c r="B144" t="s">
        <v>58</v>
      </c>
      <c r="C144" t="s">
        <v>26</v>
      </c>
      <c r="D144">
        <v>3</v>
      </c>
      <c r="E144">
        <v>1.705140000012761</v>
      </c>
      <c r="F144">
        <v>1.923804750026648</v>
      </c>
      <c r="G144">
        <v>1.745342966673131</v>
      </c>
      <c r="H144">
        <v>0.26039110217849781</v>
      </c>
      <c r="I144">
        <v>300</v>
      </c>
    </row>
    <row r="145" spans="1:9" x14ac:dyDescent="0.3">
      <c r="A145" t="s">
        <v>63</v>
      </c>
      <c r="B145" t="s">
        <v>45</v>
      </c>
      <c r="C145" t="s">
        <v>53</v>
      </c>
      <c r="D145">
        <v>3</v>
      </c>
      <c r="E145">
        <v>1.0898555000267149</v>
      </c>
      <c r="F145">
        <v>1.237858149841031</v>
      </c>
      <c r="G145">
        <v>1.1132861666669669</v>
      </c>
      <c r="H145">
        <v>7.0218228800618801E-2</v>
      </c>
      <c r="I145">
        <v>300</v>
      </c>
    </row>
    <row r="146" spans="1:9" x14ac:dyDescent="0.3">
      <c r="A146" t="s">
        <v>63</v>
      </c>
      <c r="B146" t="s">
        <v>48</v>
      </c>
      <c r="C146" t="s">
        <v>26</v>
      </c>
      <c r="D146">
        <v>3</v>
      </c>
      <c r="E146">
        <v>2.1512014999416351</v>
      </c>
      <c r="F146">
        <v>2.4038426998686191</v>
      </c>
      <c r="G146">
        <v>2.1742335299965512</v>
      </c>
      <c r="H146">
        <v>0.23153314076904011</v>
      </c>
      <c r="I146">
        <v>300</v>
      </c>
    </row>
    <row r="147" spans="1:9" x14ac:dyDescent="0.3">
      <c r="A147" t="s">
        <v>63</v>
      </c>
      <c r="B147" t="s">
        <v>33</v>
      </c>
      <c r="C147" t="s">
        <v>53</v>
      </c>
      <c r="D147">
        <v>3</v>
      </c>
      <c r="E147">
        <v>3.15800549992673</v>
      </c>
      <c r="F147">
        <v>4.2211039498511127</v>
      </c>
      <c r="G147">
        <v>3.2255826899972821</v>
      </c>
      <c r="H147">
        <v>0.60639112113096727</v>
      </c>
      <c r="I147">
        <v>300</v>
      </c>
    </row>
    <row r="148" spans="1:9" x14ac:dyDescent="0.3">
      <c r="A148" t="s">
        <v>63</v>
      </c>
      <c r="B148" t="s">
        <v>27</v>
      </c>
      <c r="C148" t="s">
        <v>53</v>
      </c>
      <c r="D148">
        <v>3</v>
      </c>
      <c r="E148">
        <v>1.9383794999612289</v>
      </c>
      <c r="F148">
        <v>2.489782250017925</v>
      </c>
      <c r="G148">
        <v>1.9968325099898721</v>
      </c>
      <c r="H148">
        <v>0.25252060306422952</v>
      </c>
      <c r="I148">
        <v>300</v>
      </c>
    </row>
    <row r="149" spans="1:9" x14ac:dyDescent="0.3">
      <c r="A149" t="s">
        <v>63</v>
      </c>
      <c r="B149" t="s">
        <v>39</v>
      </c>
      <c r="C149" t="s">
        <v>53</v>
      </c>
      <c r="D149">
        <v>3</v>
      </c>
      <c r="E149">
        <v>1.657663999935721</v>
      </c>
      <c r="F149">
        <v>2.2103011499780219</v>
      </c>
      <c r="G149">
        <v>1.772288513331356</v>
      </c>
      <c r="H149">
        <v>0.30043679336604129</v>
      </c>
      <c r="I149">
        <v>300</v>
      </c>
    </row>
    <row r="150" spans="1:9" x14ac:dyDescent="0.3">
      <c r="A150" t="s">
        <v>63</v>
      </c>
      <c r="B150" t="s">
        <v>36</v>
      </c>
      <c r="C150" t="s">
        <v>53</v>
      </c>
      <c r="D150">
        <v>3</v>
      </c>
      <c r="E150">
        <v>1.6265639999346599</v>
      </c>
      <c r="F150">
        <v>2.2756556999638642</v>
      </c>
      <c r="G150">
        <v>1.659387176667527</v>
      </c>
      <c r="H150">
        <v>0.44011575905987138</v>
      </c>
      <c r="I150">
        <v>300</v>
      </c>
    </row>
    <row r="151" spans="1:9" x14ac:dyDescent="0.3">
      <c r="A151" t="s">
        <v>63</v>
      </c>
      <c r="B151" t="s">
        <v>42</v>
      </c>
      <c r="C151" t="s">
        <v>53</v>
      </c>
      <c r="D151">
        <v>3</v>
      </c>
      <c r="E151">
        <v>1.1408709999614079</v>
      </c>
      <c r="F151">
        <v>1.283706900005654</v>
      </c>
      <c r="G151">
        <v>1.150967169999906</v>
      </c>
      <c r="H151">
        <v>8.1623963149528994E-2</v>
      </c>
      <c r="I151">
        <v>300</v>
      </c>
    </row>
    <row r="152" spans="1:9" x14ac:dyDescent="0.3">
      <c r="A152" t="s">
        <v>63</v>
      </c>
      <c r="B152" t="s">
        <v>54</v>
      </c>
      <c r="C152" t="s">
        <v>53</v>
      </c>
      <c r="D152">
        <v>3</v>
      </c>
      <c r="E152">
        <v>1.6582115000574049</v>
      </c>
      <c r="F152">
        <v>2.1553434499651298</v>
      </c>
      <c r="G152">
        <v>1.7167223766674999</v>
      </c>
      <c r="H152">
        <v>0.21844604643294299</v>
      </c>
      <c r="I152">
        <v>300</v>
      </c>
    </row>
    <row r="153" spans="1:9" x14ac:dyDescent="0.3">
      <c r="A153" t="s">
        <v>63</v>
      </c>
      <c r="B153" t="s">
        <v>54</v>
      </c>
      <c r="C153" t="s">
        <v>53</v>
      </c>
      <c r="D153">
        <v>4</v>
      </c>
      <c r="E153">
        <v>1.6022730001168379</v>
      </c>
      <c r="F153">
        <v>2.0194689499589922</v>
      </c>
      <c r="G153">
        <v>1.6474458000008481</v>
      </c>
      <c r="H153">
        <v>0.22019667624132899</v>
      </c>
      <c r="I153">
        <v>300</v>
      </c>
    </row>
    <row r="154" spans="1:9" x14ac:dyDescent="0.3">
      <c r="A154" t="s">
        <v>63</v>
      </c>
      <c r="B154" t="s">
        <v>45</v>
      </c>
      <c r="C154" t="s">
        <v>53</v>
      </c>
      <c r="D154">
        <v>4</v>
      </c>
      <c r="E154">
        <v>1.15832749997935</v>
      </c>
      <c r="F154">
        <v>1.4599599999996831</v>
      </c>
      <c r="G154">
        <v>1.188629969992689</v>
      </c>
      <c r="H154">
        <v>0.1366846890113734</v>
      </c>
      <c r="I154">
        <v>300</v>
      </c>
    </row>
    <row r="155" spans="1:9" x14ac:dyDescent="0.3">
      <c r="A155" t="s">
        <v>63</v>
      </c>
      <c r="B155" t="s">
        <v>42</v>
      </c>
      <c r="C155" t="s">
        <v>53</v>
      </c>
      <c r="D155">
        <v>4</v>
      </c>
      <c r="E155">
        <v>1.123818999872128</v>
      </c>
      <c r="F155">
        <v>1.3018038999803141</v>
      </c>
      <c r="G155">
        <v>1.134564113325875</v>
      </c>
      <c r="H155">
        <v>8.2449767724749601E-2</v>
      </c>
      <c r="I155">
        <v>300</v>
      </c>
    </row>
    <row r="156" spans="1:9" x14ac:dyDescent="0.3">
      <c r="A156" t="s">
        <v>63</v>
      </c>
      <c r="B156" t="s">
        <v>27</v>
      </c>
      <c r="C156" t="s">
        <v>53</v>
      </c>
      <c r="D156">
        <v>4</v>
      </c>
      <c r="E156">
        <v>1.5453235000677521</v>
      </c>
      <c r="F156">
        <v>2.2311158498837358</v>
      </c>
      <c r="G156">
        <v>1.6171426033345899</v>
      </c>
      <c r="H156">
        <v>0.24027243714548061</v>
      </c>
      <c r="I156">
        <v>300</v>
      </c>
    </row>
    <row r="157" spans="1:9" x14ac:dyDescent="0.3">
      <c r="A157" t="s">
        <v>63</v>
      </c>
      <c r="B157" t="s">
        <v>33</v>
      </c>
      <c r="C157" t="s">
        <v>53</v>
      </c>
      <c r="D157">
        <v>4</v>
      </c>
      <c r="E157">
        <v>2.7006214999119038</v>
      </c>
      <c r="F157">
        <v>3.3641875499938578</v>
      </c>
      <c r="G157">
        <v>2.7772218866766711</v>
      </c>
      <c r="H157">
        <v>0.34457105295208962</v>
      </c>
      <c r="I157">
        <v>300</v>
      </c>
    </row>
    <row r="158" spans="1:9" x14ac:dyDescent="0.3">
      <c r="A158" t="s">
        <v>63</v>
      </c>
      <c r="B158" t="s">
        <v>39</v>
      </c>
      <c r="C158" t="s">
        <v>53</v>
      </c>
      <c r="D158">
        <v>4</v>
      </c>
      <c r="E158">
        <v>1.2110039999697619</v>
      </c>
      <c r="F158">
        <v>1.4078161499583079</v>
      </c>
      <c r="G158">
        <v>1.2331638866680801</v>
      </c>
      <c r="H158">
        <v>8.9754412063032696E-2</v>
      </c>
      <c r="I158">
        <v>300</v>
      </c>
    </row>
    <row r="159" spans="1:9" x14ac:dyDescent="0.3">
      <c r="A159" t="s">
        <v>63</v>
      </c>
      <c r="B159" t="s">
        <v>48</v>
      </c>
      <c r="C159" t="s">
        <v>26</v>
      </c>
      <c r="D159">
        <v>4</v>
      </c>
      <c r="E159">
        <v>2.1887310000465732</v>
      </c>
      <c r="F159">
        <v>2.6880346998950699</v>
      </c>
      <c r="G159">
        <v>2.2996116700020739</v>
      </c>
      <c r="H159">
        <v>0.5996363140559885</v>
      </c>
      <c r="I159">
        <v>300</v>
      </c>
    </row>
    <row r="160" spans="1:9" x14ac:dyDescent="0.3">
      <c r="A160" t="s">
        <v>63</v>
      </c>
      <c r="B160" t="s">
        <v>58</v>
      </c>
      <c r="C160" t="s">
        <v>26</v>
      </c>
      <c r="D160">
        <v>4</v>
      </c>
      <c r="E160">
        <v>1.764603000083298</v>
      </c>
      <c r="F160">
        <v>2.4265704499953271</v>
      </c>
      <c r="G160">
        <v>1.9681700499988131</v>
      </c>
      <c r="H160">
        <v>0.82434191569190707</v>
      </c>
      <c r="I160">
        <v>300</v>
      </c>
    </row>
    <row r="161" spans="1:9" x14ac:dyDescent="0.3">
      <c r="A161" t="s">
        <v>63</v>
      </c>
      <c r="B161" t="s">
        <v>36</v>
      </c>
      <c r="C161" t="s">
        <v>53</v>
      </c>
      <c r="D161">
        <v>4</v>
      </c>
      <c r="E161">
        <v>1.141761500093708</v>
      </c>
      <c r="F161">
        <v>1.3403827499473659</v>
      </c>
      <c r="G161">
        <v>1.173128853336038</v>
      </c>
      <c r="H161">
        <v>7.9261640817135798E-2</v>
      </c>
      <c r="I161">
        <v>300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26"/>
  <sheetViews>
    <sheetView workbookViewId="0"/>
  </sheetViews>
  <sheetFormatPr defaultRowHeight="14.4" x14ac:dyDescent="0.3"/>
  <cols>
    <col min="1" max="1" width="62" customWidth="1"/>
    <col min="2" max="2" width="12" customWidth="1"/>
    <col min="3" max="3" width="24" customWidth="1"/>
    <col min="4" max="6" width="34" customWidth="1"/>
    <col min="7" max="7" width="26" customWidth="1"/>
    <col min="8" max="8" width="29" customWidth="1"/>
    <col min="9" max="9" width="34" customWidth="1"/>
    <col min="10" max="10" width="24" customWidth="1"/>
    <col min="11" max="11" width="23" customWidth="1"/>
    <col min="12" max="12" width="12" customWidth="1"/>
    <col min="13" max="13" width="22" customWidth="1"/>
    <col min="14" max="14" width="17" customWidth="1"/>
    <col min="15" max="15" width="33" customWidth="1"/>
    <col min="16" max="16" width="25" customWidth="1"/>
    <col min="17" max="17" width="23" customWidth="1"/>
    <col min="18" max="18" width="28" customWidth="1"/>
    <col min="19" max="19" width="34" customWidth="1"/>
  </cols>
  <sheetData>
    <row r="1" spans="1:19" ht="17.399999999999999" x14ac:dyDescent="0.35">
      <c r="A1" s="7" t="s">
        <v>108</v>
      </c>
    </row>
    <row r="3" spans="1:19" x14ac:dyDescent="0.3">
      <c r="A3" t="s">
        <v>109</v>
      </c>
      <c r="B3" s="8">
        <v>65</v>
      </c>
    </row>
    <row r="4" spans="1:19" x14ac:dyDescent="0.3">
      <c r="A4" t="s">
        <v>110</v>
      </c>
      <c r="B4" s="8">
        <v>0.3</v>
      </c>
    </row>
    <row r="5" spans="1:19" x14ac:dyDescent="0.3">
      <c r="A5" t="s">
        <v>111</v>
      </c>
      <c r="B5" s="8">
        <v>10</v>
      </c>
    </row>
    <row r="6" spans="1:19" x14ac:dyDescent="0.3">
      <c r="A6" t="s">
        <v>112</v>
      </c>
      <c r="B6" s="8">
        <v>20</v>
      </c>
    </row>
    <row r="7" spans="1:19" x14ac:dyDescent="0.3">
      <c r="A7" t="s">
        <v>113</v>
      </c>
      <c r="B7" s="8">
        <v>12</v>
      </c>
    </row>
    <row r="10" spans="1:19" ht="28.8" x14ac:dyDescent="0.3">
      <c r="A10" s="2" t="s">
        <v>114</v>
      </c>
      <c r="B10" s="2" t="s">
        <v>115</v>
      </c>
      <c r="C10" s="2" t="s">
        <v>116</v>
      </c>
      <c r="D10" s="2" t="s">
        <v>117</v>
      </c>
      <c r="E10" s="2" t="s">
        <v>118</v>
      </c>
      <c r="F10" s="2" t="s">
        <v>119</v>
      </c>
      <c r="G10" s="2" t="s">
        <v>120</v>
      </c>
      <c r="H10" s="2" t="s">
        <v>121</v>
      </c>
      <c r="I10" s="2" t="s">
        <v>122</v>
      </c>
      <c r="J10" s="2" t="s">
        <v>123</v>
      </c>
      <c r="K10" s="2" t="s">
        <v>124</v>
      </c>
      <c r="L10" s="2" t="s">
        <v>125</v>
      </c>
      <c r="M10" s="2" t="s">
        <v>126</v>
      </c>
      <c r="N10" s="2" t="s">
        <v>127</v>
      </c>
      <c r="O10" s="2" t="s">
        <v>128</v>
      </c>
      <c r="P10" s="2" t="s">
        <v>129</v>
      </c>
      <c r="Q10" s="2" t="s">
        <v>130</v>
      </c>
      <c r="R10" s="2" t="s">
        <v>131</v>
      </c>
      <c r="S10" s="2" t="s">
        <v>132</v>
      </c>
    </row>
    <row r="11" spans="1:19" x14ac:dyDescent="0.3">
      <c r="A11" t="s">
        <v>133</v>
      </c>
      <c r="B11" s="9">
        <v>138022</v>
      </c>
      <c r="C11">
        <v>8000</v>
      </c>
      <c r="D11">
        <v>88</v>
      </c>
      <c r="E11">
        <v>120000</v>
      </c>
      <c r="F11" s="9">
        <f>E11*D11</f>
        <v>10560000</v>
      </c>
      <c r="G11" s="9">
        <f>6*B11*F11</f>
        <v>8745073920000</v>
      </c>
      <c r="H11" s="9">
        <v>9749248</v>
      </c>
      <c r="I11" s="9">
        <f>3*H11*E11</f>
        <v>3509729280000</v>
      </c>
      <c r="J11">
        <f>G11/I11</f>
        <v>2.4916662290260745</v>
      </c>
      <c r="K11" s="9">
        <f>$B$6*B11</f>
        <v>2760440</v>
      </c>
      <c r="L11">
        <f>F11/K11</f>
        <v>3.8254770978539652</v>
      </c>
      <c r="M11">
        <f>C11*D11/K11</f>
        <v>0.25503180652359769</v>
      </c>
      <c r="N11" s="9">
        <f>$B$5*B11</f>
        <v>1380220</v>
      </c>
      <c r="O11" s="9">
        <f>$B$6*N11</f>
        <v>27604400</v>
      </c>
      <c r="P11" s="9">
        <f>6*N11*O11</f>
        <v>228600869808000</v>
      </c>
      <c r="Q11" s="9">
        <f>P11/($B$3*10^12*$B$4)/3600</f>
        <v>3.2564226468376071E-3</v>
      </c>
      <c r="R11" t="str">
        <f>IF(Q11&lt;=$B$7,"yes","NO")</f>
        <v>yes</v>
      </c>
    </row>
    <row r="12" spans="1:19" x14ac:dyDescent="0.3">
      <c r="A12" t="s">
        <v>134</v>
      </c>
      <c r="B12" s="9">
        <v>138022</v>
      </c>
      <c r="C12">
        <v>8000</v>
      </c>
      <c r="D12">
        <v>88</v>
      </c>
      <c r="E12">
        <v>120000</v>
      </c>
      <c r="F12" s="9">
        <f>E12*D12</f>
        <v>10560000</v>
      </c>
      <c r="G12" s="9">
        <f>6*B12*F12</f>
        <v>8745073920000</v>
      </c>
      <c r="H12" s="9">
        <v>9952000</v>
      </c>
      <c r="I12" s="9">
        <f>3*H12*E12</f>
        <v>3582720000000</v>
      </c>
      <c r="J12">
        <f>G12/I12</f>
        <v>2.4409035369774919</v>
      </c>
      <c r="K12" s="9">
        <f>$B$6*B12</f>
        <v>2760440</v>
      </c>
      <c r="L12">
        <f>F12/K12</f>
        <v>3.8254770978539652</v>
      </c>
      <c r="M12">
        <f>C12*D12/K12</f>
        <v>0.25503180652359769</v>
      </c>
      <c r="N12" s="9">
        <f>$B$5*B12</f>
        <v>1380220</v>
      </c>
      <c r="O12" s="9">
        <f>$B$6*N12</f>
        <v>27604400</v>
      </c>
      <c r="P12" s="9">
        <f>6*N12*O12</f>
        <v>228600869808000</v>
      </c>
      <c r="Q12" s="9">
        <f>P12/($B$3*10^12*$B$4)/3600</f>
        <v>3.2564226468376071E-3</v>
      </c>
      <c r="R12" t="str">
        <f>IF(Q12&lt;=$B$7,"yes","NO")</f>
        <v>yes</v>
      </c>
    </row>
    <row r="13" spans="1:19" x14ac:dyDescent="0.3">
      <c r="A13" t="s">
        <v>135</v>
      </c>
      <c r="B13" s="9">
        <v>114630</v>
      </c>
      <c r="C13">
        <v>8000</v>
      </c>
      <c r="D13">
        <v>88</v>
      </c>
      <c r="E13">
        <v>120000</v>
      </c>
      <c r="F13" s="9">
        <f>E13*D13</f>
        <v>10560000</v>
      </c>
      <c r="G13" s="9">
        <f>6*B13*F13</f>
        <v>7262956800000</v>
      </c>
      <c r="H13" s="9">
        <v>17826560</v>
      </c>
      <c r="I13" s="9">
        <f>3*H13*E13</f>
        <v>6417561600000</v>
      </c>
      <c r="J13">
        <f>G13/I13</f>
        <v>1.1317315286852876</v>
      </c>
      <c r="K13" s="9">
        <f>$B$6*B13</f>
        <v>2292600</v>
      </c>
      <c r="L13">
        <f>F13/K13</f>
        <v>4.6061240512954722</v>
      </c>
      <c r="M13">
        <f>C13*D13/K13</f>
        <v>0.30707493675303149</v>
      </c>
      <c r="N13" s="9">
        <f>$B$5*B13</f>
        <v>1146300</v>
      </c>
      <c r="O13" s="9">
        <f>$B$6*N13</f>
        <v>22926000</v>
      </c>
      <c r="P13" s="9">
        <f>6*N13*O13</f>
        <v>157680442800000</v>
      </c>
      <c r="Q13" s="9">
        <f>P13/($B$3*10^12*$B$4)/3600</f>
        <v>2.2461601538461538E-3</v>
      </c>
      <c r="R13" t="str">
        <f>IF(Q13&lt;=$B$7,"yes","NO")</f>
        <v>yes</v>
      </c>
    </row>
    <row r="14" spans="1:19" x14ac:dyDescent="0.3">
      <c r="A14" t="s">
        <v>136</v>
      </c>
      <c r="B14" s="9">
        <v>9030</v>
      </c>
      <c r="C14">
        <v>8000</v>
      </c>
      <c r="D14">
        <v>88</v>
      </c>
      <c r="E14">
        <v>120000</v>
      </c>
      <c r="F14" s="9">
        <f>E14*D14</f>
        <v>10560000</v>
      </c>
      <c r="G14" s="9">
        <f>6*B14*F14</f>
        <v>572140800000</v>
      </c>
      <c r="H14" s="9">
        <v>1180864</v>
      </c>
      <c r="I14" s="9">
        <f>3*H14*E14</f>
        <v>425111040000</v>
      </c>
      <c r="J14">
        <f>G14/I14</f>
        <v>1.34586201289903</v>
      </c>
      <c r="K14" s="9">
        <f>$B$6*B14</f>
        <v>180600</v>
      </c>
      <c r="L14">
        <f>F14/K14</f>
        <v>58.471760797342192</v>
      </c>
      <c r="M14">
        <f>C14*D14/K14</f>
        <v>3.8981173864894796</v>
      </c>
      <c r="N14" s="9">
        <f>$B$5*B14</f>
        <v>90300</v>
      </c>
      <c r="O14" s="9">
        <f>$B$6*N14</f>
        <v>1806000</v>
      </c>
      <c r="P14" s="9">
        <f>6*N14*O14</f>
        <v>978490800000</v>
      </c>
      <c r="Q14" s="9">
        <f>P14/($B$3*10^12*$B$4)/3600</f>
        <v>1.3938615384615384E-5</v>
      </c>
      <c r="R14" t="str">
        <f>IF(Q14&lt;=$B$7,"yes","NO")</f>
        <v>yes</v>
      </c>
    </row>
    <row r="15" spans="1:19" x14ac:dyDescent="0.3">
      <c r="B15" s="9"/>
      <c r="F15" s="9"/>
      <c r="G15" s="9"/>
      <c r="H15" s="9"/>
      <c r="I15" s="9"/>
      <c r="K15" s="9"/>
      <c r="N15" s="9"/>
      <c r="O15" s="9"/>
      <c r="P15" s="9"/>
      <c r="Q15" s="9"/>
    </row>
    <row r="16" spans="1:19" x14ac:dyDescent="0.3">
      <c r="A16" s="10" t="s">
        <v>137</v>
      </c>
      <c r="B16" s="9"/>
      <c r="F16" s="9"/>
      <c r="G16" s="9"/>
      <c r="H16" s="9"/>
      <c r="I16" s="9"/>
      <c r="K16" s="9"/>
      <c r="N16" s="9"/>
      <c r="O16" s="9"/>
      <c r="P16" s="9"/>
      <c r="Q16" s="9"/>
    </row>
    <row r="17" spans="1:19" x14ac:dyDescent="0.3">
      <c r="A17" t="s">
        <v>138</v>
      </c>
      <c r="B17" s="9">
        <v>900000000</v>
      </c>
      <c r="F17" s="9"/>
      <c r="G17" s="9">
        <f>6*B17*K17</f>
        <v>9.72E+19</v>
      </c>
      <c r="H17" s="9"/>
      <c r="I17" s="9"/>
      <c r="K17" s="9">
        <f>$B$6*B17</f>
        <v>18000000000</v>
      </c>
      <c r="N17" s="9"/>
      <c r="O17" s="9"/>
      <c r="P17" s="9"/>
      <c r="Q17" s="9">
        <f>G17/($B$3*10^12*$B$4)/3600</f>
        <v>1384.6153846153848</v>
      </c>
      <c r="R17" t="str">
        <f>IF(Q17&lt;=$B$7,"yes","NO")</f>
        <v>NO</v>
      </c>
      <c r="S17">
        <f>Q17/24/365</f>
        <v>0.15806111696522657</v>
      </c>
    </row>
    <row r="18" spans="1:19" x14ac:dyDescent="0.3">
      <c r="A18" t="s">
        <v>139</v>
      </c>
      <c r="B18" s="9">
        <v>9000000000</v>
      </c>
      <c r="F18" s="9"/>
      <c r="G18" s="9">
        <f>6*B18*K18</f>
        <v>9.72E+21</v>
      </c>
      <c r="H18" s="9"/>
      <c r="I18" s="9"/>
      <c r="K18" s="9">
        <f>$B$6*B18</f>
        <v>180000000000</v>
      </c>
      <c r="N18" s="9"/>
      <c r="O18" s="9"/>
      <c r="P18" s="9"/>
      <c r="Q18" s="9">
        <f>G18/($B$3*10^12*$B$4)/3600</f>
        <v>138461.53846153847</v>
      </c>
      <c r="R18" t="str">
        <f>IF(Q18&lt;=$B$7,"yes","NO")</f>
        <v>NO</v>
      </c>
      <c r="S18">
        <f>Q18/24/365</f>
        <v>15.806111696522656</v>
      </c>
    </row>
    <row r="19" spans="1:19" x14ac:dyDescent="0.3">
      <c r="B19" s="9"/>
      <c r="F19" s="9"/>
      <c r="G19" s="9"/>
      <c r="H19" s="9"/>
      <c r="I19" s="9"/>
      <c r="K19" s="9"/>
      <c r="N19" s="9"/>
      <c r="O19" s="9"/>
      <c r="P19" s="9"/>
      <c r="Q19" s="9"/>
    </row>
    <row r="21" spans="1:19" x14ac:dyDescent="0.3">
      <c r="A21" t="s">
        <v>140</v>
      </c>
    </row>
    <row r="22" spans="1:19" x14ac:dyDescent="0.3">
      <c r="A22" t="s">
        <v>141</v>
      </c>
    </row>
    <row r="23" spans="1:19" x14ac:dyDescent="0.3">
      <c r="A23" t="s">
        <v>142</v>
      </c>
    </row>
    <row r="24" spans="1:19" x14ac:dyDescent="0.3">
      <c r="A24" t="s">
        <v>143</v>
      </c>
    </row>
    <row r="25" spans="1:19" x14ac:dyDescent="0.3">
      <c r="A25" t="s">
        <v>144</v>
      </c>
    </row>
    <row r="26" spans="1:19" x14ac:dyDescent="0.3">
      <c r="A26" t="s">
        <v>145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2"/>
  <sheetViews>
    <sheetView tabSelected="1" workbookViewId="0"/>
  </sheetViews>
  <sheetFormatPr defaultRowHeight="14.4" x14ac:dyDescent="0.3"/>
  <cols>
    <col min="1" max="5" width="30" customWidth="1"/>
  </cols>
  <sheetData>
    <row r="1" spans="1:5" x14ac:dyDescent="0.3">
      <c r="A1" s="2" t="s">
        <v>146</v>
      </c>
      <c r="B1" s="2" t="s">
        <v>26</v>
      </c>
      <c r="C1" s="2" t="s">
        <v>52</v>
      </c>
      <c r="D1" s="2" t="s">
        <v>61</v>
      </c>
      <c r="E1" s="2" t="s">
        <v>63</v>
      </c>
    </row>
    <row r="2" spans="1:5" x14ac:dyDescent="0.3">
      <c r="A2" t="s">
        <v>147</v>
      </c>
      <c r="B2" t="s">
        <v>148</v>
      </c>
      <c r="C2" t="s">
        <v>149</v>
      </c>
      <c r="D2" t="s">
        <v>148</v>
      </c>
      <c r="E2" t="s">
        <v>149</v>
      </c>
    </row>
    <row r="3" spans="1:5" x14ac:dyDescent="0.3">
      <c r="A3" t="s">
        <v>150</v>
      </c>
      <c r="B3" t="s">
        <v>151</v>
      </c>
      <c r="C3" t="s">
        <v>152</v>
      </c>
      <c r="D3" t="s">
        <v>151</v>
      </c>
      <c r="E3" t="s">
        <v>152</v>
      </c>
    </row>
    <row r="4" spans="1:5" x14ac:dyDescent="0.3">
      <c r="A4" t="s">
        <v>153</v>
      </c>
      <c r="B4" t="s">
        <v>154</v>
      </c>
      <c r="C4" t="s">
        <v>155</v>
      </c>
      <c r="D4" t="s">
        <v>154</v>
      </c>
      <c r="E4" t="s">
        <v>155</v>
      </c>
    </row>
    <row r="5" spans="1:5" x14ac:dyDescent="0.3">
      <c r="A5" t="s">
        <v>156</v>
      </c>
      <c r="B5" t="s">
        <v>157</v>
      </c>
      <c r="C5" t="s">
        <v>158</v>
      </c>
      <c r="D5" t="s">
        <v>157</v>
      </c>
      <c r="E5" t="s">
        <v>158</v>
      </c>
    </row>
    <row r="6" spans="1:5" x14ac:dyDescent="0.3">
      <c r="A6" t="s">
        <v>159</v>
      </c>
      <c r="B6" t="s">
        <v>160</v>
      </c>
      <c r="C6" t="s">
        <v>161</v>
      </c>
      <c r="D6" t="s">
        <v>162</v>
      </c>
      <c r="E6" t="s">
        <v>161</v>
      </c>
    </row>
    <row r="7" spans="1:5" x14ac:dyDescent="0.3">
      <c r="A7" t="s">
        <v>163</v>
      </c>
      <c r="B7" t="s">
        <v>164</v>
      </c>
      <c r="C7" t="s">
        <v>165</v>
      </c>
      <c r="D7" t="s">
        <v>164</v>
      </c>
      <c r="E7" t="s">
        <v>165</v>
      </c>
    </row>
    <row r="8" spans="1:5" x14ac:dyDescent="0.3">
      <c r="A8" t="s">
        <v>5</v>
      </c>
      <c r="B8" t="s">
        <v>26</v>
      </c>
      <c r="C8" t="s">
        <v>53</v>
      </c>
      <c r="D8" t="s">
        <v>26</v>
      </c>
      <c r="E8" t="s">
        <v>53</v>
      </c>
    </row>
    <row r="9" spans="1:5" x14ac:dyDescent="0.3">
      <c r="A9" t="s">
        <v>166</v>
      </c>
      <c r="B9" t="s">
        <v>164</v>
      </c>
      <c r="C9" t="s">
        <v>167</v>
      </c>
      <c r="D9" t="s">
        <v>164</v>
      </c>
      <c r="E9" t="s">
        <v>167</v>
      </c>
    </row>
    <row r="10" spans="1:5" x14ac:dyDescent="0.3">
      <c r="A10" t="s">
        <v>168</v>
      </c>
      <c r="B10" t="s">
        <v>164</v>
      </c>
      <c r="C10" t="s">
        <v>169</v>
      </c>
      <c r="D10" t="s">
        <v>164</v>
      </c>
      <c r="E10" t="s">
        <v>169</v>
      </c>
    </row>
    <row r="11" spans="1:5" x14ac:dyDescent="0.3">
      <c r="A11" t="s">
        <v>170</v>
      </c>
      <c r="B11" t="s">
        <v>164</v>
      </c>
      <c r="C11" t="s">
        <v>171</v>
      </c>
      <c r="D11" t="s">
        <v>164</v>
      </c>
      <c r="E11" t="s">
        <v>171</v>
      </c>
    </row>
    <row r="12" spans="1:5" x14ac:dyDescent="0.3">
      <c r="A12" t="s">
        <v>172</v>
      </c>
      <c r="B12" t="s">
        <v>164</v>
      </c>
      <c r="C12" t="s">
        <v>173</v>
      </c>
      <c r="D12" t="s">
        <v>164</v>
      </c>
      <c r="E12" t="s">
        <v>173</v>
      </c>
    </row>
    <row r="13" spans="1:5" x14ac:dyDescent="0.3">
      <c r="A13" t="s">
        <v>174</v>
      </c>
      <c r="B13" t="s">
        <v>175</v>
      </c>
      <c r="C13" t="s">
        <v>176</v>
      </c>
      <c r="D13" t="s">
        <v>175</v>
      </c>
      <c r="E13" t="s">
        <v>176</v>
      </c>
    </row>
    <row r="14" spans="1:5" x14ac:dyDescent="0.3">
      <c r="A14" t="s">
        <v>177</v>
      </c>
      <c r="B14" t="s">
        <v>178</v>
      </c>
      <c r="C14" t="s">
        <v>179</v>
      </c>
      <c r="D14" t="s">
        <v>178</v>
      </c>
      <c r="E14" t="s">
        <v>179</v>
      </c>
    </row>
    <row r="15" spans="1:5" x14ac:dyDescent="0.3">
      <c r="A15" t="s">
        <v>180</v>
      </c>
      <c r="B15" t="s">
        <v>181</v>
      </c>
      <c r="C15" t="s">
        <v>182</v>
      </c>
      <c r="D15" t="s">
        <v>183</v>
      </c>
      <c r="E15" t="s">
        <v>182</v>
      </c>
    </row>
    <row r="16" spans="1:5" x14ac:dyDescent="0.3">
      <c r="A16" t="s">
        <v>184</v>
      </c>
      <c r="B16" t="s">
        <v>185</v>
      </c>
      <c r="C16" t="s">
        <v>185</v>
      </c>
      <c r="D16" t="s">
        <v>185</v>
      </c>
      <c r="E16" t="s">
        <v>185</v>
      </c>
    </row>
    <row r="17" spans="1:5" x14ac:dyDescent="0.3">
      <c r="A17" t="s">
        <v>186</v>
      </c>
      <c r="B17" t="s">
        <v>187</v>
      </c>
      <c r="C17" t="s">
        <v>188</v>
      </c>
      <c r="D17" t="s">
        <v>187</v>
      </c>
      <c r="E17" t="s">
        <v>188</v>
      </c>
    </row>
    <row r="18" spans="1:5" x14ac:dyDescent="0.3">
      <c r="A18" t="s">
        <v>189</v>
      </c>
      <c r="B18" t="s">
        <v>190</v>
      </c>
      <c r="C18" t="s">
        <v>191</v>
      </c>
      <c r="D18" t="s">
        <v>192</v>
      </c>
      <c r="E18" t="s">
        <v>191</v>
      </c>
    </row>
    <row r="19" spans="1:5" x14ac:dyDescent="0.3">
      <c r="A19" t="s">
        <v>193</v>
      </c>
      <c r="B19" t="s">
        <v>194</v>
      </c>
      <c r="C19" t="s">
        <v>195</v>
      </c>
      <c r="D19" t="s">
        <v>196</v>
      </c>
      <c r="E19" t="s">
        <v>195</v>
      </c>
    </row>
    <row r="20" spans="1:5" x14ac:dyDescent="0.3">
      <c r="A20" t="s">
        <v>197</v>
      </c>
      <c r="B20" t="s">
        <v>198</v>
      </c>
      <c r="C20" t="s">
        <v>199</v>
      </c>
      <c r="D20" t="s">
        <v>198</v>
      </c>
      <c r="E20" t="s">
        <v>199</v>
      </c>
    </row>
    <row r="22" spans="1:5" x14ac:dyDescent="0.3">
      <c r="A22" t="s">
        <v>200</v>
      </c>
      <c r="B22">
        <v>1177.5</v>
      </c>
      <c r="C22">
        <v>307.3</v>
      </c>
      <c r="D22">
        <v>825.8</v>
      </c>
      <c r="E22">
        <v>638.4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Board</vt:lpstr>
      <vt:lpstr>Methodology</vt:lpstr>
      <vt:lpstr>VM_vs_GPU</vt:lpstr>
      <vt:lpstr>Acc_Runs</vt:lpstr>
      <vt:lpstr>Latency_Runs</vt:lpstr>
      <vt:lpstr>ScalingLaw</vt:lpstr>
      <vt:lpstr>Hardware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Patrick Davis</cp:lastModifiedBy>
  <dcterms:created xsi:type="dcterms:W3CDTF">2026-10-12T03:27:07Z</dcterms:created>
  <dcterms:modified xsi:type="dcterms:W3CDTF">2026-10-12T03:36:31Z</dcterms:modified>
</cp:coreProperties>
</file>