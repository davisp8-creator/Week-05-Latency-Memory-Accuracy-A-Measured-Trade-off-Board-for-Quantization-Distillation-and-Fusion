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VM_vs_GPU" sheetId="3" state="visible" r:id="rId3"/>
    <sheet xmlns:r="http://schemas.openxmlformats.org/officeDocument/2006/relationships" name="Acc_Runs" sheetId="4" state="visible" r:id="rId4"/>
    <sheet xmlns:r="http://schemas.openxmlformats.org/officeDocument/2006/relationships" name="Latency_Runs" sheetId="5" state="visible" r:id="rId5"/>
    <sheet xmlns:r="http://schemas.openxmlformats.org/officeDocument/2006/relationships" name="ScalingLaw" sheetId="6" state="visible" r:id="rId6"/>
    <sheet xmlns:r="http://schemas.openxmlformats.org/officeDocument/2006/relationships" name="Hardwa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3" borderId="0" pivotButton="0" quotePrefix="0" xfId="0"/>
    <xf numFmtId="11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15354300" cy="569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3" customWidth="1" min="5" max="5"/>
    <col width="12" customWidth="1" min="6" max="6"/>
    <col width="12" customWidth="1" min="7" max="7"/>
    <col width="28" customWidth="1" min="8" max="8"/>
    <col width="24" customWidth="1" min="9" max="9"/>
    <col width="29" customWidth="1" min="10" max="10"/>
    <col width="27" customWidth="1" min="11" max="11"/>
    <col width="25" customWidth="1" min="12" max="12"/>
    <col width="27" customWidth="1" min="13" max="13"/>
    <col width="25" customWidth="1" min="14" max="14"/>
    <col width="15" customWidth="1" min="15" max="15"/>
    <col width="20" customWidth="1" min="16" max="16"/>
    <col width="20" customWidth="1" min="17" max="17"/>
    <col width="20" customWidth="1" min="18" max="18"/>
    <col width="26" customWidth="1" min="19" max="19"/>
    <col width="21" customWidth="1" min="20" max="20"/>
    <col width="60" customWidth="1" min="21" max="21"/>
  </cols>
  <sheetData>
    <row r="1">
      <c r="A1" s="1" t="inlineStr">
        <is>
          <t>Brightline Logistics - Edge Model Trade-off Board</t>
        </is>
      </c>
    </row>
    <row r="2">
      <c r="A2" t="inlineStr">
        <is>
          <t>[cpu] Intel VM (CPU only) | 13th Gen Intel(R) Core(TM) i9-13900HX | torch 2.14.1+cpu | seeds [0, 1, 2] | 5 trials x 300 timed forwards, batch 1, n_test=2000   ||   [t4gpu] Colab (T4 GPU) | Tesla T4 | torch 2.11.0+cu130 | seeds [0, 1, 2] | 5 trials x 300 timed forwards, batch 1, n_test=2000</t>
        </is>
      </c>
    </row>
    <row r="4">
      <c r="A4" s="2" t="inlineStr">
        <is>
          <t>tag</t>
        </is>
      </c>
      <c r="B4" s="2" t="inlineStr">
        <is>
          <t>config</t>
        </is>
      </c>
      <c r="C4" s="2" t="inlineStr">
        <is>
          <t>technique</t>
        </is>
      </c>
      <c r="D4" s="2" t="inlineStr">
        <is>
          <t>device</t>
        </is>
      </c>
      <c r="E4" s="2" t="inlineStr">
        <is>
          <t>precision</t>
        </is>
      </c>
      <c r="F4" s="2" t="inlineStr">
        <is>
          <t>params</t>
        </is>
      </c>
      <c r="G4" s="2" t="inlineStr">
        <is>
          <t>size MB</t>
        </is>
      </c>
      <c r="H4" s="2" t="inlineStr">
        <is>
          <t>accuracy (mean of seeds)</t>
        </is>
      </c>
      <c r="I4" s="2" t="inlineStr">
        <is>
          <t>accuracy std (seeds)</t>
        </is>
      </c>
      <c r="J4" s="2" t="inlineStr">
        <is>
          <t>acc 95% CI +/- (binomial)</t>
        </is>
      </c>
      <c r="K4" s="2" t="inlineStr">
        <is>
          <t>p50 ms (mean of trials)</t>
        </is>
      </c>
      <c r="L4" s="2" t="inlineStr">
        <is>
          <t>p50 std across trials</t>
        </is>
      </c>
      <c r="M4" s="2" t="inlineStr">
        <is>
          <t>p95 ms (mean of trials)</t>
        </is>
      </c>
      <c r="N4" s="2" t="inlineStr">
        <is>
          <t>p95 std across trials</t>
        </is>
      </c>
      <c r="O4" s="2" t="inlineStr">
        <is>
          <t>peak GPU MB</t>
        </is>
      </c>
      <c r="P4" s="2" t="inlineStr">
        <is>
          <t>CPU RSS delta MB</t>
        </is>
      </c>
      <c r="Q4" s="2" t="inlineStr">
        <is>
          <t>reference config</t>
        </is>
      </c>
      <c r="R4" s="2" t="inlineStr">
        <is>
          <t>acc delta vs ref</t>
        </is>
      </c>
      <c r="S4" s="2" t="inlineStr">
        <is>
          <t>p50 speedup vs ref (x)</t>
        </is>
      </c>
      <c r="T4" s="2" t="inlineStr">
        <is>
          <t>size ratio vs ref</t>
        </is>
      </c>
      <c r="U4" s="2" t="inlineStr">
        <is>
          <t>note</t>
        </is>
      </c>
    </row>
    <row r="5">
      <c r="A5" t="inlineStr">
        <is>
          <t>cpu</t>
        </is>
      </c>
      <c r="B5" t="inlineStr">
        <is>
          <t>baseline_fp32</t>
        </is>
      </c>
      <c r="C5" t="inlineStr">
        <is>
          <t>Baseline: late fusion, softmax attention, FP32</t>
        </is>
      </c>
      <c r="D5" t="inlineStr">
        <is>
          <t>cpu</t>
        </is>
      </c>
      <c r="E5" t="inlineStr">
        <is>
          <t>fp32</t>
        </is>
      </c>
      <c r="F5" t="n">
        <v>138022</v>
      </c>
      <c r="G5" t="n">
        <v>0.5427</v>
      </c>
      <c r="H5" s="3">
        <f>AVERAGEIFS(Acc_Runs!D2:D49,Acc_Runs!A2:A49,A5,Acc_Runs!B2:B49,B5)</f>
        <v/>
      </c>
      <c r="I5" s="3" t="n">
        <v>0.01261942946412397</v>
      </c>
      <c r="J5" s="3">
        <f>AVERAGEIFS(Acc_Runs!F2:F49,Acc_Runs!A2:A49,A5,Acc_Runs!B2:B49,B5)</f>
        <v/>
      </c>
      <c r="K5" s="4">
        <f>AVERAGEIFS(Latency_Runs!E2:E81,Latency_Runs!A2:A81,A5,Latency_Runs!B2:B81,B5)</f>
        <v/>
      </c>
      <c r="L5" s="4" t="n">
        <v>0.006994158842332671</v>
      </c>
      <c r="M5" s="4">
        <f>AVERAGEIFS(Latency_Runs!F2:F81,Latency_Runs!A2:A81,A5,Latency_Runs!B2:B81,B5)</f>
        <v/>
      </c>
      <c r="N5" s="4" t="n">
        <v>0.05974829164885307</v>
      </c>
      <c r="P5" t="n">
        <v>1.49</v>
      </c>
      <c r="Q5" t="inlineStr">
        <is>
          <t>-</t>
        </is>
      </c>
      <c r="R5" s="3" t="n"/>
      <c r="S5" s="4" t="n"/>
      <c r="T5" s="4" t="n"/>
      <c r="U5" t="inlineStr">
        <is>
          <t>Reference for the primary device</t>
        </is>
      </c>
    </row>
    <row r="6">
      <c r="A6" t="inlineStr">
        <is>
          <t>cpu</t>
        </is>
      </c>
      <c r="B6" t="inlineStr">
        <is>
          <t>linear_attn</t>
        </is>
      </c>
      <c r="C6" t="inlineStr">
        <is>
          <t>Architecture variant: linear attention</t>
        </is>
      </c>
      <c r="D6" t="inlineStr">
        <is>
          <t>cpu</t>
        </is>
      </c>
      <c r="E6" t="inlineStr">
        <is>
          <t>fp32</t>
        </is>
      </c>
      <c r="F6" t="n">
        <v>138022</v>
      </c>
      <c r="G6" t="n">
        <v>0.5427</v>
      </c>
      <c r="H6" s="3">
        <f>AVERAGEIFS(Acc_Runs!D2:D49,Acc_Runs!A2:A49,A6,Acc_Runs!B2:B49,B6)</f>
        <v/>
      </c>
      <c r="I6" s="3" t="n">
        <v>0.01252996408614168</v>
      </c>
      <c r="J6" s="3">
        <f>AVERAGEIFS(Acc_Runs!F2:F49,Acc_Runs!A2:A49,A6,Acc_Runs!B2:B49,B6)</f>
        <v/>
      </c>
      <c r="K6" s="4">
        <f>AVERAGEIFS(Latency_Runs!E2:E81,Latency_Runs!A2:A81,A6,Latency_Runs!B2:B81,B6)</f>
        <v/>
      </c>
      <c r="L6" s="4" t="n">
        <v>0.01374806292794725</v>
      </c>
      <c r="M6" s="4">
        <f>AVERAGEIFS(Latency_Runs!F2:F81,Latency_Runs!A2:A81,A6,Latency_Runs!B2:B81,B6)</f>
        <v/>
      </c>
      <c r="N6" s="4" t="n">
        <v>0.08833112205939848</v>
      </c>
      <c r="P6" t="n">
        <v>-37.87</v>
      </c>
      <c r="Q6" t="inlineStr">
        <is>
          <t>baseline_fp32</t>
        </is>
      </c>
      <c r="R6" s="3">
        <f>H6-H5</f>
        <v/>
      </c>
      <c r="S6" s="4">
        <f>K5/K6</f>
        <v/>
      </c>
      <c r="T6" s="4">
        <f>G6/G5</f>
        <v/>
      </c>
      <c r="U6" t="inlineStr">
        <is>
          <t>Sequence length is only 24: no asymptotic advantage expected</t>
        </is>
      </c>
    </row>
    <row r="7">
      <c r="A7" t="inlineStr">
        <is>
          <t>cpu</t>
        </is>
      </c>
      <c r="B7" t="inlineStr">
        <is>
          <t>early_fusion</t>
        </is>
      </c>
      <c r="C7" t="inlineStr">
        <is>
          <t>Fusion variant: early fusion, same budget</t>
        </is>
      </c>
      <c r="D7" t="inlineStr">
        <is>
          <t>cpu</t>
        </is>
      </c>
      <c r="E7" t="inlineStr">
        <is>
          <t>fp32</t>
        </is>
      </c>
      <c r="F7" t="n">
        <v>114630</v>
      </c>
      <c r="G7" t="n">
        <v>0.4471</v>
      </c>
      <c r="H7" s="3">
        <f>AVERAGEIFS(Acc_Runs!D2:D49,Acc_Runs!A2:A49,A7,Acc_Runs!B2:B49,B7)</f>
        <v/>
      </c>
      <c r="I7" s="3" t="n">
        <v>0.008621678104251716</v>
      </c>
      <c r="J7" s="3">
        <f>AVERAGEIFS(Acc_Runs!F2:F49,Acc_Runs!A2:A49,A7,Acc_Runs!B2:B49,B7)</f>
        <v/>
      </c>
      <c r="K7" s="4">
        <f>AVERAGEIFS(Latency_Runs!E2:E81,Latency_Runs!A2:A81,A7,Latency_Runs!B2:B81,B7)</f>
        <v/>
      </c>
      <c r="L7" s="4" t="n">
        <v>0.005299929808446431</v>
      </c>
      <c r="M7" s="4">
        <f>AVERAGEIFS(Latency_Runs!F2:F81,Latency_Runs!A2:A81,A7,Latency_Runs!B2:B81,B7)</f>
        <v/>
      </c>
      <c r="N7" s="4" t="n">
        <v>0.04071163017422458</v>
      </c>
      <c r="P7" t="n">
        <v>0.11</v>
      </c>
      <c r="Q7" t="inlineStr">
        <is>
          <t>baseline_fp32</t>
        </is>
      </c>
      <c r="R7" s="3">
        <f>H7-H5</f>
        <v/>
      </c>
      <c r="S7" s="4">
        <f>K5/K7</f>
        <v/>
      </c>
      <c r="T7" s="4">
        <f>G7/G5</f>
        <v/>
      </c>
      <c r="U7" t="inlineStr">
        <is>
          <t>Image patches + words in one transformer</t>
        </is>
      </c>
    </row>
    <row r="8">
      <c r="A8" t="inlineStr">
        <is>
          <t>cpu</t>
        </is>
      </c>
      <c r="B8" t="inlineStr">
        <is>
          <t>early_fusion_2x</t>
        </is>
      </c>
      <c r="C8" t="inlineStr">
        <is>
          <t>Fusion variant: early fusion, 2x epochs</t>
        </is>
      </c>
      <c r="D8" t="inlineStr">
        <is>
          <t>cpu</t>
        </is>
      </c>
      <c r="E8" t="inlineStr">
        <is>
          <t>fp32</t>
        </is>
      </c>
      <c r="F8" t="n">
        <v>114630</v>
      </c>
      <c r="G8" t="n">
        <v>0.4471</v>
      </c>
      <c r="H8" s="3">
        <f>AVERAGEIFS(Acc_Runs!D2:D49,Acc_Runs!A2:A49,A8,Acc_Runs!B2:B49,B8)</f>
        <v/>
      </c>
      <c r="I8" s="3" t="n">
        <v>0.01381122731693312</v>
      </c>
      <c r="J8" s="3">
        <f>AVERAGEIFS(Acc_Runs!F2:F49,Acc_Runs!A2:A49,A8,Acc_Runs!B2:B49,B8)</f>
        <v/>
      </c>
      <c r="K8" s="4">
        <f>AVERAGEIFS(Latency_Runs!E2:E81,Latency_Runs!A2:A81,A8,Latency_Runs!B2:B81,B8)</f>
        <v/>
      </c>
      <c r="L8" s="4" t="n">
        <v>0.01773631195213339</v>
      </c>
      <c r="M8" s="4">
        <f>AVERAGEIFS(Latency_Runs!F2:F81,Latency_Runs!A2:A81,A8,Latency_Runs!B2:B81,B8)</f>
        <v/>
      </c>
      <c r="N8" s="4" t="n">
        <v>0.04007803653487633</v>
      </c>
      <c r="P8" t="n">
        <v>0</v>
      </c>
      <c r="Q8" t="inlineStr">
        <is>
          <t>baseline_fp32</t>
        </is>
      </c>
      <c r="R8" s="3">
        <f>H8-H5</f>
        <v/>
      </c>
      <c r="S8" s="4">
        <f>K5/K8</f>
        <v/>
      </c>
      <c r="T8" s="4">
        <f>G8/G5</f>
        <v/>
      </c>
      <c r="U8" t="inlineStr">
        <is>
          <t>Same model, double the epochs: separates 'worse' from 'slower to train'</t>
        </is>
      </c>
    </row>
    <row r="9">
      <c r="A9" t="inlineStr">
        <is>
          <t>cpu</t>
        </is>
      </c>
      <c r="B9" t="inlineStr">
        <is>
          <t>student_kd</t>
        </is>
      </c>
      <c r="C9" t="inlineStr">
        <is>
          <t>Distilled student (KD from baseline)</t>
        </is>
      </c>
      <c r="D9" t="inlineStr">
        <is>
          <t>cpu</t>
        </is>
      </c>
      <c r="E9" t="inlineStr">
        <is>
          <t>fp32</t>
        </is>
      </c>
      <c r="F9" t="n">
        <v>9030</v>
      </c>
      <c r="G9" t="n">
        <v>0.0462</v>
      </c>
      <c r="H9" s="3">
        <f>AVERAGEIFS(Acc_Runs!D2:D49,Acc_Runs!A2:A49,A9,Acc_Runs!B2:B49,B9)</f>
        <v/>
      </c>
      <c r="I9" s="3" t="n">
        <v>0.009087537253477088</v>
      </c>
      <c r="J9" s="3">
        <f>AVERAGEIFS(Acc_Runs!F2:F49,Acc_Runs!A2:A49,A9,Acc_Runs!B2:B49,B9)</f>
        <v/>
      </c>
      <c r="K9" s="4">
        <f>AVERAGEIFS(Latency_Runs!E2:E81,Latency_Runs!A2:A81,A9,Latency_Runs!B2:B81,B9)</f>
        <v/>
      </c>
      <c r="L9" s="4" t="n">
        <v>0.01304829515716722</v>
      </c>
      <c r="M9" s="4">
        <f>AVERAGEIFS(Latency_Runs!F2:F81,Latency_Runs!A2:A81,A9,Latency_Runs!B2:B81,B9)</f>
        <v/>
      </c>
      <c r="N9" s="4" t="n">
        <v>0.03932639702326342</v>
      </c>
      <c r="P9" t="n">
        <v>0.12</v>
      </c>
      <c r="Q9" t="inlineStr">
        <is>
          <t>baseline_fp32</t>
        </is>
      </c>
      <c r="R9" s="3">
        <f>H9-H5</f>
        <v/>
      </c>
      <c r="S9" s="4">
        <f>K5/K9</f>
        <v/>
      </c>
      <c r="T9" s="4">
        <f>G9/G5</f>
        <v/>
      </c>
      <c r="U9" t="inlineStr">
        <is>
          <t>Width 16, 1 layer, distilled from the baseline</t>
        </is>
      </c>
    </row>
    <row r="10">
      <c r="A10" t="inlineStr">
        <is>
          <t>cpu</t>
        </is>
      </c>
      <c r="B10" t="inlineStr">
        <is>
          <t>student_nokd</t>
        </is>
      </c>
      <c r="C10" t="inlineStr">
        <is>
          <t>Student, labels only (KD control)</t>
        </is>
      </c>
      <c r="D10" t="inlineStr">
        <is>
          <t>cpu</t>
        </is>
      </c>
      <c r="E10" t="inlineStr">
        <is>
          <t>fp32</t>
        </is>
      </c>
      <c r="F10" t="n">
        <v>9030</v>
      </c>
      <c r="G10" t="n">
        <v>0.0462</v>
      </c>
      <c r="H10" s="3">
        <f>AVERAGEIFS(Acc_Runs!D2:D49,Acc_Runs!A2:A49,A10,Acc_Runs!B2:B49,B10)</f>
        <v/>
      </c>
      <c r="I10" s="3" t="n">
        <v>0.006048415770541379</v>
      </c>
      <c r="J10" s="3">
        <f>AVERAGEIFS(Acc_Runs!F2:F49,Acc_Runs!A2:A49,A10,Acc_Runs!B2:B49,B10)</f>
        <v/>
      </c>
      <c r="K10" s="4">
        <f>AVERAGEIFS(Latency_Runs!E2:E81,Latency_Runs!A2:A81,A10,Latency_Runs!B2:B81,B10)</f>
        <v/>
      </c>
      <c r="L10" s="4" t="n">
        <v>0.005623055525747161</v>
      </c>
      <c r="M10" s="4">
        <f>AVERAGEIFS(Latency_Runs!F2:F81,Latency_Runs!A2:A81,A10,Latency_Runs!B2:B81,B10)</f>
        <v/>
      </c>
      <c r="N10" s="4" t="n">
        <v>0.03776819675374072</v>
      </c>
      <c r="P10" t="n">
        <v>0.01</v>
      </c>
      <c r="Q10" t="inlineStr">
        <is>
          <t>baseline_fp32</t>
        </is>
      </c>
      <c r="R10" s="3">
        <f>H10-H5</f>
        <v/>
      </c>
      <c r="S10" s="4">
        <f>K5/K10</f>
        <v/>
      </c>
      <c r="T10" s="4">
        <f>G10/G5</f>
        <v/>
      </c>
      <c r="U10" t="inlineStr">
        <is>
          <t>Same student from labels only: isolates the effect of KD</t>
        </is>
      </c>
    </row>
    <row r="11">
      <c r="A11" t="inlineStr">
        <is>
          <t>cpu</t>
        </is>
      </c>
      <c r="B11" t="inlineStr">
        <is>
          <t>cpu_baseline_int8</t>
        </is>
      </c>
      <c r="C11" t="inlineStr">
        <is>
          <t>Quantized: dynamic INT8 on CPU</t>
        </is>
      </c>
      <c r="D11" t="inlineStr">
        <is>
          <t>cpu</t>
        </is>
      </c>
      <c r="E11" t="inlineStr">
        <is>
          <t>int8</t>
        </is>
      </c>
      <c r="F11" t="n">
        <v>138022</v>
      </c>
      <c r="G11" t="n">
        <v>0.2439</v>
      </c>
      <c r="H11" s="3">
        <f>AVERAGEIFS(Acc_Runs!D2:D49,Acc_Runs!A2:A49,A11,Acc_Runs!B2:B49,B11)</f>
        <v/>
      </c>
      <c r="I11" s="3" t="n">
        <v>0.01307988277215563</v>
      </c>
      <c r="J11" s="3">
        <f>AVERAGEIFS(Acc_Runs!F2:F49,Acc_Runs!A2:A49,A11,Acc_Runs!B2:B49,B11)</f>
        <v/>
      </c>
      <c r="K11" s="4">
        <f>AVERAGEIFS(Latency_Runs!E2:E81,Latency_Runs!A2:A81,A11,Latency_Runs!B2:B81,B11)</f>
        <v/>
      </c>
      <c r="L11" s="4" t="n">
        <v>0.007886016548185494</v>
      </c>
      <c r="M11" s="4">
        <f>AVERAGEIFS(Latency_Runs!F2:F81,Latency_Runs!A2:A81,A11,Latency_Runs!B2:B81,B11)</f>
        <v/>
      </c>
      <c r="N11" s="4" t="n">
        <v>0.09377574045603485</v>
      </c>
      <c r="P11" t="n">
        <v>3.51</v>
      </c>
      <c r="Q11" t="inlineStr">
        <is>
          <t>baseline_fp32</t>
        </is>
      </c>
      <c r="R11" s="3">
        <f>H11-H5</f>
        <v/>
      </c>
      <c r="S11" s="4">
        <f>K5/K11</f>
        <v/>
      </c>
      <c r="T11" s="4">
        <f>G11/G5</f>
        <v/>
      </c>
      <c r="U11" t="inlineStr">
        <is>
          <t>Dynamic INT8 on Linear layers; convolutions stay FP32</t>
        </is>
      </c>
    </row>
    <row r="12">
      <c r="A12" t="inlineStr">
        <is>
          <t>t4gpu</t>
        </is>
      </c>
      <c r="B12" t="inlineStr">
        <is>
          <t>baseline_fp32</t>
        </is>
      </c>
      <c r="C12" t="inlineStr">
        <is>
          <t>Baseline: late fusion, softmax attention, FP32</t>
        </is>
      </c>
      <c r="D12" t="inlineStr">
        <is>
          <t>cuda</t>
        </is>
      </c>
      <c r="E12" t="inlineStr">
        <is>
          <t>fp32</t>
        </is>
      </c>
      <c r="F12" t="n">
        <v>138022</v>
      </c>
      <c r="G12" t="n">
        <v>0.5434</v>
      </c>
      <c r="H12" s="3">
        <f>AVERAGEIFS(Acc_Runs!D2:D49,Acc_Runs!A2:A49,A12,Acc_Runs!B2:B49,B12)</f>
        <v/>
      </c>
      <c r="I12" s="3" t="n">
        <v>0.01396722353702891</v>
      </c>
      <c r="J12" s="3">
        <f>AVERAGEIFS(Acc_Runs!F2:F49,Acc_Runs!A2:A49,A12,Acc_Runs!B2:B49,B12)</f>
        <v/>
      </c>
      <c r="K12" s="4">
        <f>AVERAGEIFS(Latency_Runs!E2:E81,Latency_Runs!A2:A81,A12,Latency_Runs!B2:B81,B12)</f>
        <v/>
      </c>
      <c r="L12" s="4" t="n">
        <v>0.2128087622446671</v>
      </c>
      <c r="M12" s="4">
        <f>AVERAGEIFS(Latency_Runs!F2:F81,Latency_Runs!A2:A81,A12,Latency_Runs!B2:B81,B12)</f>
        <v/>
      </c>
      <c r="N12" s="4" t="n">
        <v>0.4549967254243359</v>
      </c>
      <c r="O12" t="n">
        <v>18.945</v>
      </c>
      <c r="P12" t="n">
        <v>0.33</v>
      </c>
      <c r="Q12" t="inlineStr">
        <is>
          <t>-</t>
        </is>
      </c>
      <c r="R12" s="3" t="n"/>
      <c r="S12" s="4" t="n"/>
      <c r="T12" s="4" t="n"/>
      <c r="U12" t="inlineStr">
        <is>
          <t>Reference for the primary device</t>
        </is>
      </c>
    </row>
    <row r="13">
      <c r="A13" t="inlineStr">
        <is>
          <t>t4gpu</t>
        </is>
      </c>
      <c r="B13" t="inlineStr">
        <is>
          <t>baseline_fp16</t>
        </is>
      </c>
      <c r="C13" t="inlineStr">
        <is>
          <t>Precision: FP16 weights (GPU only)</t>
        </is>
      </c>
      <c r="D13" t="inlineStr">
        <is>
          <t>cuda</t>
        </is>
      </c>
      <c r="E13" t="inlineStr">
        <is>
          <t>fp16</t>
        </is>
      </c>
      <c r="F13" t="n">
        <v>138022</v>
      </c>
      <c r="G13" t="n">
        <v>0.2796</v>
      </c>
      <c r="H13" s="3">
        <f>AVERAGEIFS(Acc_Runs!D2:D49,Acc_Runs!A2:A49,A13,Acc_Runs!B2:B49,B13)</f>
        <v/>
      </c>
      <c r="I13" s="3" t="n">
        <v>0.01304160010632646</v>
      </c>
      <c r="J13" s="3">
        <f>AVERAGEIFS(Acc_Runs!F2:F49,Acc_Runs!A2:A49,A13,Acc_Runs!B2:B49,B13)</f>
        <v/>
      </c>
      <c r="K13" s="4">
        <f>AVERAGEIFS(Latency_Runs!E2:E81,Latency_Runs!A2:A81,A13,Latency_Runs!B2:B81,B13)</f>
        <v/>
      </c>
      <c r="L13" s="4" t="n">
        <v>0.06002445458391568</v>
      </c>
      <c r="M13" s="4">
        <f>AVERAGEIFS(Latency_Runs!F2:F81,Latency_Runs!A2:A81,A13,Latency_Runs!B2:B81,B13)</f>
        <v/>
      </c>
      <c r="N13" s="4" t="n">
        <v>0.3418055661635718</v>
      </c>
      <c r="O13" t="n">
        <v>18.162</v>
      </c>
      <c r="P13" t="n">
        <v>32.04</v>
      </c>
      <c r="Q13" t="inlineStr">
        <is>
          <t>baseline_fp32</t>
        </is>
      </c>
      <c r="R13" s="3">
        <f>H13-H12</f>
        <v/>
      </c>
      <c r="S13" s="4">
        <f>K12/K13</f>
        <v/>
      </c>
      <c r="T13" s="4">
        <f>G13/G12</f>
        <v/>
      </c>
      <c r="U13" t="inlineStr">
        <is>
          <t>Same weights as baseline</t>
        </is>
      </c>
    </row>
    <row r="14">
      <c r="A14" t="inlineStr">
        <is>
          <t>t4gpu</t>
        </is>
      </c>
      <c r="B14" t="inlineStr">
        <is>
          <t>linear_attn</t>
        </is>
      </c>
      <c r="C14" t="inlineStr">
        <is>
          <t>Architecture variant: linear attention</t>
        </is>
      </c>
      <c r="D14" t="inlineStr">
        <is>
          <t>cuda</t>
        </is>
      </c>
      <c r="E14" t="inlineStr">
        <is>
          <t>fp32</t>
        </is>
      </c>
      <c r="F14" t="n">
        <v>138022</v>
      </c>
      <c r="G14" t="n">
        <v>0.5434</v>
      </c>
      <c r="H14" s="3">
        <f>AVERAGEIFS(Acc_Runs!D2:D49,Acc_Runs!A2:A49,A14,Acc_Runs!B2:B49,B14)</f>
        <v/>
      </c>
      <c r="I14" s="3" t="n">
        <v>0.0130288142207954</v>
      </c>
      <c r="J14" s="3">
        <f>AVERAGEIFS(Acc_Runs!F2:F49,Acc_Runs!A2:A49,A14,Acc_Runs!B2:B49,B14)</f>
        <v/>
      </c>
      <c r="K14" s="4">
        <f>AVERAGEIFS(Latency_Runs!E2:E81,Latency_Runs!A2:A81,A14,Latency_Runs!B2:B81,B14)</f>
        <v/>
      </c>
      <c r="L14" s="4" t="n">
        <v>0.3708126568220756</v>
      </c>
      <c r="M14" s="4">
        <f>AVERAGEIFS(Latency_Runs!F2:F81,Latency_Runs!A2:A81,A14,Latency_Runs!B2:B81,B14)</f>
        <v/>
      </c>
      <c r="N14" s="4" t="n">
        <v>0.7766278545253118</v>
      </c>
      <c r="O14" t="n">
        <v>18.945</v>
      </c>
      <c r="P14" t="n">
        <v>0.54</v>
      </c>
      <c r="Q14" t="inlineStr">
        <is>
          <t>baseline_fp32</t>
        </is>
      </c>
      <c r="R14" s="3">
        <f>H14-H12</f>
        <v/>
      </c>
      <c r="S14" s="4">
        <f>K12/K14</f>
        <v/>
      </c>
      <c r="T14" s="4">
        <f>G14/G12</f>
        <v/>
      </c>
      <c r="U14" t="inlineStr">
        <is>
          <t>Sequence length is only 24: no asymptotic advantage expected</t>
        </is>
      </c>
    </row>
    <row r="15">
      <c r="A15" t="inlineStr">
        <is>
          <t>t4gpu</t>
        </is>
      </c>
      <c r="B15" t="inlineStr">
        <is>
          <t>early_fusion</t>
        </is>
      </c>
      <c r="C15" t="inlineStr">
        <is>
          <t>Fusion variant: early fusion, same budget</t>
        </is>
      </c>
      <c r="D15" t="inlineStr">
        <is>
          <t>cuda</t>
        </is>
      </c>
      <c r="E15" t="inlineStr">
        <is>
          <t>fp32</t>
        </is>
      </c>
      <c r="F15" t="n">
        <v>114630</v>
      </c>
      <c r="G15" t="n">
        <v>0.4476</v>
      </c>
      <c r="H15" s="3">
        <f>AVERAGEIFS(Acc_Runs!D2:D49,Acc_Runs!A2:A49,A15,Acc_Runs!B2:B49,B15)</f>
        <v/>
      </c>
      <c r="I15" s="3" t="n">
        <v>0.008621678104251716</v>
      </c>
      <c r="J15" s="3">
        <f>AVERAGEIFS(Acc_Runs!F2:F49,Acc_Runs!A2:A49,A15,Acc_Runs!B2:B49,B15)</f>
        <v/>
      </c>
      <c r="K15" s="4">
        <f>AVERAGEIFS(Latency_Runs!E2:E81,Latency_Runs!A2:A81,A15,Latency_Runs!B2:B81,B15)</f>
        <v/>
      </c>
      <c r="L15" s="4" t="n">
        <v>0.01584599678866139</v>
      </c>
      <c r="M15" s="4">
        <f>AVERAGEIFS(Latency_Runs!F2:F81,Latency_Runs!A2:A81,A15,Latency_Runs!B2:B81,B15)</f>
        <v/>
      </c>
      <c r="N15" s="4" t="n">
        <v>0.2650769783162325</v>
      </c>
      <c r="O15" t="n">
        <v>19.062</v>
      </c>
      <c r="P15" t="n">
        <v>0</v>
      </c>
      <c r="Q15" t="inlineStr">
        <is>
          <t>baseline_fp32</t>
        </is>
      </c>
      <c r="R15" s="3">
        <f>H15-H12</f>
        <v/>
      </c>
      <c r="S15" s="4">
        <f>K12/K15</f>
        <v/>
      </c>
      <c r="T15" s="4">
        <f>G15/G12</f>
        <v/>
      </c>
      <c r="U15" t="inlineStr">
        <is>
          <t>Image patches + words in one transformer</t>
        </is>
      </c>
    </row>
    <row r="16">
      <c r="A16" t="inlineStr">
        <is>
          <t>t4gpu</t>
        </is>
      </c>
      <c r="B16" t="inlineStr">
        <is>
          <t>early_fusion_2x</t>
        </is>
      </c>
      <c r="C16" t="inlineStr">
        <is>
          <t>Fusion variant: early fusion, 2x epochs</t>
        </is>
      </c>
      <c r="D16" t="inlineStr">
        <is>
          <t>cuda</t>
        </is>
      </c>
      <c r="E16" t="inlineStr">
        <is>
          <t>fp32</t>
        </is>
      </c>
      <c r="F16" t="n">
        <v>114630</v>
      </c>
      <c r="G16" t="n">
        <v>0.4476</v>
      </c>
      <c r="H16" s="3">
        <f>AVERAGEIFS(Acc_Runs!D2:D49,Acc_Runs!A2:A49,A16,Acc_Runs!B2:B49,B16)</f>
        <v/>
      </c>
      <c r="I16" s="3" t="n">
        <v>0.002645751311064593</v>
      </c>
      <c r="J16" s="3">
        <f>AVERAGEIFS(Acc_Runs!F2:F49,Acc_Runs!A2:A49,A16,Acc_Runs!B2:B49,B16)</f>
        <v/>
      </c>
      <c r="K16" s="4">
        <f>AVERAGEIFS(Latency_Runs!E2:E81,Latency_Runs!A2:A81,A16,Latency_Runs!B2:B81,B16)</f>
        <v/>
      </c>
      <c r="L16" s="4" t="n">
        <v>0.2440253853728148</v>
      </c>
      <c r="M16" s="4">
        <f>AVERAGEIFS(Latency_Runs!F2:F81,Latency_Runs!A2:A81,A16,Latency_Runs!B2:B81,B16)</f>
        <v/>
      </c>
      <c r="N16" s="4" t="n">
        <v>0.6298405277117195</v>
      </c>
      <c r="O16" t="n">
        <v>19.062</v>
      </c>
      <c r="P16" t="n">
        <v>0</v>
      </c>
      <c r="Q16" t="inlineStr">
        <is>
          <t>baseline_fp32</t>
        </is>
      </c>
      <c r="R16" s="3">
        <f>H16-H12</f>
        <v/>
      </c>
      <c r="S16" s="4">
        <f>K12/K16</f>
        <v/>
      </c>
      <c r="T16" s="4">
        <f>G16/G12</f>
        <v/>
      </c>
      <c r="U16" t="inlineStr">
        <is>
          <t>Same model, double the epochs: separates 'worse' from 'slower to train'</t>
        </is>
      </c>
    </row>
    <row r="17">
      <c r="A17" t="inlineStr">
        <is>
          <t>t4gpu</t>
        </is>
      </c>
      <c r="B17" t="inlineStr">
        <is>
          <t>student_kd</t>
        </is>
      </c>
      <c r="C17" t="inlineStr">
        <is>
          <t>Distilled student (KD from baseline)</t>
        </is>
      </c>
      <c r="D17" t="inlineStr">
        <is>
          <t>cuda</t>
        </is>
      </c>
      <c r="E17" t="inlineStr">
        <is>
          <t>fp32</t>
        </is>
      </c>
      <c r="F17" t="n">
        <v>9030</v>
      </c>
      <c r="G17" t="n">
        <v>0.0467</v>
      </c>
      <c r="H17" s="3">
        <f>AVERAGEIFS(Acc_Runs!D2:D49,Acc_Runs!A2:A49,A17,Acc_Runs!B2:B49,B17)</f>
        <v/>
      </c>
      <c r="I17" s="3" t="n">
        <v>0.01464012750399851</v>
      </c>
      <c r="J17" s="3">
        <f>AVERAGEIFS(Acc_Runs!F2:F49,Acc_Runs!A2:A49,A17,Acc_Runs!B2:B49,B17)</f>
        <v/>
      </c>
      <c r="K17" s="4">
        <f>AVERAGEIFS(Latency_Runs!E2:E81,Latency_Runs!A2:A81,A17,Latency_Runs!B2:B81,B17)</f>
        <v/>
      </c>
      <c r="L17" s="4" t="n">
        <v>0.03368797665148789</v>
      </c>
      <c r="M17" s="4">
        <f>AVERAGEIFS(Latency_Runs!F2:F81,Latency_Runs!A2:A81,A17,Latency_Runs!B2:B81,B17)</f>
        <v/>
      </c>
      <c r="N17" s="4" t="n">
        <v>0.2663248931774851</v>
      </c>
      <c r="O17" t="n">
        <v>18.392</v>
      </c>
      <c r="P17" t="n">
        <v>5.49</v>
      </c>
      <c r="Q17" t="inlineStr">
        <is>
          <t>baseline_fp32</t>
        </is>
      </c>
      <c r="R17" s="3">
        <f>H17-H12</f>
        <v/>
      </c>
      <c r="S17" s="4">
        <f>K12/K17</f>
        <v/>
      </c>
      <c r="T17" s="4">
        <f>G17/G12</f>
        <v/>
      </c>
      <c r="U17" t="inlineStr">
        <is>
          <t>Width 16, 1 layer, distilled from the baseline</t>
        </is>
      </c>
    </row>
    <row r="18">
      <c r="A18" t="inlineStr">
        <is>
          <t>t4gpu</t>
        </is>
      </c>
      <c r="B18" t="inlineStr">
        <is>
          <t>student_nokd</t>
        </is>
      </c>
      <c r="C18" t="inlineStr">
        <is>
          <t>Student, labels only (KD control)</t>
        </is>
      </c>
      <c r="D18" t="inlineStr">
        <is>
          <t>cuda</t>
        </is>
      </c>
      <c r="E18" t="inlineStr">
        <is>
          <t>fp32</t>
        </is>
      </c>
      <c r="F18" t="n">
        <v>9030</v>
      </c>
      <c r="G18" t="n">
        <v>0.0467</v>
      </c>
      <c r="H18" s="3">
        <f>AVERAGEIFS(Acc_Runs!D2:D49,Acc_Runs!A2:A49,A18,Acc_Runs!B2:B49,B18)</f>
        <v/>
      </c>
      <c r="I18" s="3" t="n">
        <v>0.0072858309981315</v>
      </c>
      <c r="J18" s="3">
        <f>AVERAGEIFS(Acc_Runs!F2:F49,Acc_Runs!A2:A49,A18,Acc_Runs!B2:B49,B18)</f>
        <v/>
      </c>
      <c r="K18" s="4">
        <f>AVERAGEIFS(Latency_Runs!E2:E81,Latency_Runs!A2:A81,A18,Latency_Runs!B2:B81,B18)</f>
        <v/>
      </c>
      <c r="L18" s="4" t="n">
        <v>0.03428689016045063</v>
      </c>
      <c r="M18" s="4">
        <f>AVERAGEIFS(Latency_Runs!F2:F81,Latency_Runs!A2:A81,A18,Latency_Runs!B2:B81,B18)</f>
        <v/>
      </c>
      <c r="N18" s="4" t="n">
        <v>0.03483676069781038</v>
      </c>
      <c r="O18" t="n">
        <v>18.392</v>
      </c>
      <c r="P18" t="n">
        <v>0</v>
      </c>
      <c r="Q18" t="inlineStr">
        <is>
          <t>baseline_fp32</t>
        </is>
      </c>
      <c r="R18" s="3">
        <f>H18-H12</f>
        <v/>
      </c>
      <c r="S18" s="4">
        <f>K12/K18</f>
        <v/>
      </c>
      <c r="T18" s="4">
        <f>G18/G12</f>
        <v/>
      </c>
      <c r="U18" t="inlineStr">
        <is>
          <t>Same student from labels only: isolates the effect of KD</t>
        </is>
      </c>
    </row>
    <row r="19">
      <c r="A19" t="inlineStr">
        <is>
          <t>t4gpu</t>
        </is>
      </c>
      <c r="B19" t="inlineStr">
        <is>
          <t>cpu_baseline_fp32</t>
        </is>
      </c>
      <c r="C19" t="inlineStr">
        <is>
          <t>Baseline on CPU, FP32</t>
        </is>
      </c>
      <c r="D19" t="inlineStr">
        <is>
          <t>cpu</t>
        </is>
      </c>
      <c r="E19" t="inlineStr">
        <is>
          <t>fp32</t>
        </is>
      </c>
      <c r="F19" t="n">
        <v>138022</v>
      </c>
      <c r="G19" t="n">
        <v>0.5427</v>
      </c>
      <c r="H19" s="3">
        <f>AVERAGEIFS(Acc_Runs!D2:D49,Acc_Runs!A2:A49,A19,Acc_Runs!B2:B49,B19)</f>
        <v/>
      </c>
      <c r="I19" s="3" t="n">
        <v>0.01396722353702891</v>
      </c>
      <c r="J19" s="3">
        <f>AVERAGEIFS(Acc_Runs!F2:F49,Acc_Runs!A2:A49,A19,Acc_Runs!B2:B49,B19)</f>
        <v/>
      </c>
      <c r="K19" s="4">
        <f>AVERAGEIFS(Latency_Runs!E2:E81,Latency_Runs!A2:A81,A19,Latency_Runs!B2:B81,B19)</f>
        <v/>
      </c>
      <c r="L19" s="4" t="n">
        <v>0.04093921262425083</v>
      </c>
      <c r="M19" s="4">
        <f>AVERAGEIFS(Latency_Runs!F2:F81,Latency_Runs!A2:A81,A19,Latency_Runs!B2:B81,B19)</f>
        <v/>
      </c>
      <c r="N19" s="4" t="n">
        <v>0.1522348605775018</v>
      </c>
      <c r="P19" t="n">
        <v>1.54</v>
      </c>
      <c r="Q19" t="inlineStr">
        <is>
          <t>-</t>
        </is>
      </c>
      <c r="R19" s="3" t="n"/>
      <c r="S19" s="4" t="n"/>
      <c r="T19" s="4" t="n"/>
      <c r="U19" t="inlineStr">
        <is>
          <t>CPU reference when the primary device is a GPU</t>
        </is>
      </c>
    </row>
    <row r="20">
      <c r="A20" t="inlineStr">
        <is>
          <t>t4gpu</t>
        </is>
      </c>
      <c r="B20" t="inlineStr">
        <is>
          <t>cpu_baseline_int8</t>
        </is>
      </c>
      <c r="C20" t="inlineStr">
        <is>
          <t>Quantized: dynamic INT8 on CPU</t>
        </is>
      </c>
      <c r="D20" t="inlineStr">
        <is>
          <t>cpu</t>
        </is>
      </c>
      <c r="E20" t="inlineStr">
        <is>
          <t>int8</t>
        </is>
      </c>
      <c r="F20" t="n">
        <v>138022</v>
      </c>
      <c r="G20" t="n">
        <v>0.2439</v>
      </c>
      <c r="H20" s="3">
        <f>AVERAGEIFS(Acc_Runs!D2:D49,Acc_Runs!A2:A49,A20,Acc_Runs!B2:B49,B20)</f>
        <v/>
      </c>
      <c r="I20" s="3" t="n">
        <v>0.01331352695569433</v>
      </c>
      <c r="J20" s="3">
        <f>AVERAGEIFS(Acc_Runs!F2:F49,Acc_Runs!A2:A49,A20,Acc_Runs!B2:B49,B20)</f>
        <v/>
      </c>
      <c r="K20" s="4">
        <f>AVERAGEIFS(Latency_Runs!E2:E81,Latency_Runs!A2:A81,A20,Latency_Runs!B2:B81,B20)</f>
        <v/>
      </c>
      <c r="L20" s="4" t="n">
        <v>1.012911694167388</v>
      </c>
      <c r="M20" s="4">
        <f>AVERAGEIFS(Latency_Runs!F2:F81,Latency_Runs!A2:A81,A20,Latency_Runs!B2:B81,B20)</f>
        <v/>
      </c>
      <c r="N20" s="4" t="n">
        <v>4.991442112596982</v>
      </c>
      <c r="P20" t="n">
        <v>0.27</v>
      </c>
      <c r="Q20" t="inlineStr">
        <is>
          <t>cpu_baseline_fp32</t>
        </is>
      </c>
      <c r="R20" s="3">
        <f>H20-H19</f>
        <v/>
      </c>
      <c r="S20" s="4">
        <f>K19/K20</f>
        <v/>
      </c>
      <c r="T20" s="4">
        <f>G20/G19</f>
        <v/>
      </c>
      <c r="U20" t="inlineStr">
        <is>
          <t>Dynamic INT8 on Linear layers; convolutions stay FP32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5" t="inlineStr">
        <is>
          <t>METHODOLOGY AND LIMITS</t>
        </is>
      </c>
    </row>
    <row r="2">
      <c r="A2" s="6" t="inlineStr"/>
    </row>
    <row r="3">
      <c r="A3" s="6" t="inlineStr">
        <is>
          <t>Task: 6-class claim-queue routing from (bill-of-lading image, driver-note transcript). Label = cargo condition (intact/crushed/wet, from the image) x receiver outcome (accepted/refused, from the note).</t>
        </is>
      </c>
    </row>
    <row r="4">
      <c r="A4" s="6" t="inlineStr">
        <is>
          <t>Data: synthetic, generated by the assignment script with a fixed seed. Image: noisy page, low-contrast cue (depth 0.22), faint decoy scratches and smudges. Note: 60% carry a decoy clause about a different load with the opposite outcome. 10% of image cues and 12% of note cues are wrong, so the ceiling is roughly 0.79. Same data for every configuration. The test set is never used for training or selection.</t>
        </is>
      </c>
    </row>
    <row r="5">
      <c r="A5" s="6" t="inlineStr">
        <is>
          <t>Driver notes are text transcripts. No audio model is in the loop, so speech-recognition error is NOT measured (a stated gap).</t>
        </is>
      </c>
    </row>
    <row r="6">
      <c r="A6" s="6" t="inlineStr">
        <is>
          <t>Accuracy: mean over training seeds on a fixed test set; seed std, plus a binomial 95% interval that covers test-set sampling error only.</t>
        </is>
      </c>
    </row>
    <row r="7">
      <c r="A7" s="6" t="inlineStr">
        <is>
          <t>Latency: batch size 1; warm-up before every timed trial; torch.cuda.synchronize() before and after each timed forward; repeated trials; p50/p95 per trial; variance reported across trials.</t>
        </is>
      </c>
    </row>
    <row r="8">
      <c r="A8" s="6" t="inlineStr">
        <is>
          <t>Confounds controlled: input transfer excluded from the timer; CPU thread count pinned; configs visited in shuffled order within each trial round; each config's memory measured alone on a fresh load.</t>
        </is>
      </c>
    </row>
    <row r="9">
      <c r="A9" s="6" t="inlineStr">
        <is>
          <t>Memory: GPU peak = torch.cuda.max_memory_allocated (excludes the CUDA context). CPU: serialized model size plus a coarse process-RSS delta.</t>
        </is>
      </c>
    </row>
    <row r="10">
      <c r="A10" s="6" t="inlineStr">
        <is>
          <t>Techniques: dynamic INT8 quantization of Linear layers (CPU only); FP16 on GPU; knowledge distillation with a labels-only control; linear-attention variant; late vs early fusion (early fusion also trained for 2x epochs to separate 'worse' from 'slower to train').</t>
        </is>
      </c>
    </row>
    <row r="11">
      <c r="A11" s="6" t="inlineStr">
        <is>
          <t>Hardware: runs are tagged by machine. 'cpu' = the Intel VM (CPU only); 't4gpu' = Colab T4. GPU-labelled configs run on the primary device, so on the VM they run on the CPU.</t>
        </is>
      </c>
    </row>
    <row r="12">
      <c r="A12" s="6" t="inlineStr"/>
    </row>
    <row r="13">
      <c r="A13" s="6" t="inlineStr">
        <is>
          <t>KNOWN LIMITS (do not over-claim):</t>
        </is>
      </c>
    </row>
    <row r="14">
      <c r="A14" s="6" t="inlineStr">
        <is>
          <t>- Synthetic data: absolute accuracy says nothing about real scanned bills of lading; only the relative ordering under controlled conditions.</t>
        </is>
      </c>
    </row>
    <row r="15">
      <c r="A15" s="6" t="inlineStr">
        <is>
          <t>- Neither machine is the in-cab tablet. CPU INT8 on a VM or on 2 Colab vCPUs is a proxy; real Android NPU/XNNPACK latencies will differ.</t>
        </is>
      </c>
    </row>
    <row r="16">
      <c r="A16" s="6" t="inlineStr">
        <is>
          <t>- A virtual machine adds scheduling jitter, which is why p95 and trial-to-trial spread are reported.</t>
        </is>
      </c>
    </row>
    <row r="17">
      <c r="A17" s="6" t="inlineStr">
        <is>
          <t>- Sequence length 24 is too short for linear attention to pay off; the variant tests that, not long-context behaviour.</t>
        </is>
      </c>
    </row>
    <row r="18">
      <c r="A18" s="6" t="inlineStr">
        <is>
          <t>- Dynamic INT8 leaves convolutions in FP32; full static INT8 or QAT could behave differently.</t>
        </is>
      </c>
    </row>
    <row r="19">
      <c r="A19" s="6" t="inlineStr">
        <is>
          <t>- The free Colab GPU is shared; absolute latencies vary between sessions, so compare configs within one run, not across runs.</t>
        </is>
      </c>
    </row>
    <row r="20">
      <c r="A20" s="6" t="inlineStr">
        <is>
          <t>- 3 training seeds: accuracy gaps smaller than about one seed std are not distinguishable.</t>
        </is>
      </c>
    </row>
    <row r="21">
      <c r="A21" s="6" t="inlineStr"/>
    </row>
    <row r="22">
      <c r="A22" s="6" t="inlineStr">
        <is>
          <t>Reproduce: run the notebook on a Colab T4 (COLAB.md) and the installer script on the VM; both write results/*_&lt;tag&gt;.* and rebuild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2" customWidth="1" min="4" max="4"/>
    <col width="13" customWidth="1" min="5" max="5"/>
    <col width="18" customWidth="1" min="6" max="6"/>
    <col width="30" customWidth="1" min="7" max="7"/>
    <col width="13" customWidth="1" min="8" max="8"/>
    <col width="18" customWidth="1" min="9" max="9"/>
    <col width="15" customWidth="1" min="10" max="10"/>
    <col width="33" customWidth="1" min="11" max="11"/>
  </cols>
  <sheetData>
    <row r="1">
      <c r="A1" s="7" t="inlineStr">
        <is>
          <t>Same code, same seeds, same budgets: Intel VM (tag cpu) vs Colab / T4 GPU (tag t4gpu)</t>
        </is>
      </c>
    </row>
    <row r="3">
      <c r="A3" s="2" t="inlineStr">
        <is>
          <t>config</t>
        </is>
      </c>
      <c r="B3" s="2" t="inlineStr">
        <is>
          <t>VM acc</t>
        </is>
      </c>
      <c r="C3" s="2" t="inlineStr">
        <is>
          <t>GPU-run acc</t>
        </is>
      </c>
      <c r="D3" s="2" t="inlineStr">
        <is>
          <t>acc diff</t>
        </is>
      </c>
      <c r="E3" s="2" t="inlineStr">
        <is>
          <t>VM p50 ms</t>
        </is>
      </c>
      <c r="F3" s="2" t="inlineStr">
        <is>
          <t>GPU-run p50 ms</t>
        </is>
      </c>
      <c r="G3" s="2" t="inlineStr">
        <is>
          <t>p50 speedup (VM / GPU run)</t>
        </is>
      </c>
      <c r="H3" s="2" t="inlineStr">
        <is>
          <t>VM p95 ms</t>
        </is>
      </c>
      <c r="I3" s="2" t="inlineStr">
        <is>
          <t>GPU-run p95 ms</t>
        </is>
      </c>
      <c r="J3" s="2" t="inlineStr">
        <is>
          <t>p95 speedup</t>
        </is>
      </c>
      <c r="K3" s="2" t="inlineStr">
        <is>
          <t>where the GPU run executed it</t>
        </is>
      </c>
    </row>
    <row r="4">
      <c r="A4" t="inlineStr">
        <is>
          <t>baseline_fp32</t>
        </is>
      </c>
      <c r="B4" s="3">
        <f>Board!H5</f>
        <v/>
      </c>
      <c r="C4" s="3">
        <f>Board!H12</f>
        <v/>
      </c>
      <c r="D4" s="3">
        <f>C4-B4</f>
        <v/>
      </c>
      <c r="E4" s="4">
        <f>Board!K5</f>
        <v/>
      </c>
      <c r="F4" s="4">
        <f>Board!K12</f>
        <v/>
      </c>
      <c r="G4" s="4">
        <f>E4/F4</f>
        <v/>
      </c>
      <c r="H4" s="4">
        <f>Board!M5</f>
        <v/>
      </c>
      <c r="I4" s="4">
        <f>Board!M12</f>
        <v/>
      </c>
      <c r="J4" s="4">
        <f>H4/I4</f>
        <v/>
      </c>
      <c r="K4" t="inlineStr">
        <is>
          <t>cuda</t>
        </is>
      </c>
    </row>
    <row r="5">
      <c r="A5" t="inlineStr">
        <is>
          <t>linear_attn</t>
        </is>
      </c>
      <c r="B5" s="3">
        <f>Board!H6</f>
        <v/>
      </c>
      <c r="C5" s="3">
        <f>Board!H14</f>
        <v/>
      </c>
      <c r="D5" s="3">
        <f>C5-B5</f>
        <v/>
      </c>
      <c r="E5" s="4">
        <f>Board!K6</f>
        <v/>
      </c>
      <c r="F5" s="4">
        <f>Board!K14</f>
        <v/>
      </c>
      <c r="G5" s="4">
        <f>E5/F5</f>
        <v/>
      </c>
      <c r="H5" s="4">
        <f>Board!M6</f>
        <v/>
      </c>
      <c r="I5" s="4">
        <f>Board!M14</f>
        <v/>
      </c>
      <c r="J5" s="4">
        <f>H5/I5</f>
        <v/>
      </c>
      <c r="K5" t="inlineStr">
        <is>
          <t>cuda</t>
        </is>
      </c>
    </row>
    <row r="6">
      <c r="A6" t="inlineStr">
        <is>
          <t>early_fusion</t>
        </is>
      </c>
      <c r="B6" s="3">
        <f>Board!H7</f>
        <v/>
      </c>
      <c r="C6" s="3">
        <f>Board!H15</f>
        <v/>
      </c>
      <c r="D6" s="3">
        <f>C6-B6</f>
        <v/>
      </c>
      <c r="E6" s="4">
        <f>Board!K7</f>
        <v/>
      </c>
      <c r="F6" s="4">
        <f>Board!K15</f>
        <v/>
      </c>
      <c r="G6" s="4">
        <f>E6/F6</f>
        <v/>
      </c>
      <c r="H6" s="4">
        <f>Board!M7</f>
        <v/>
      </c>
      <c r="I6" s="4">
        <f>Board!M15</f>
        <v/>
      </c>
      <c r="J6" s="4">
        <f>H6/I6</f>
        <v/>
      </c>
      <c r="K6" t="inlineStr">
        <is>
          <t>cuda</t>
        </is>
      </c>
    </row>
    <row r="7">
      <c r="A7" t="inlineStr">
        <is>
          <t>early_fusion_2x</t>
        </is>
      </c>
      <c r="B7" s="3">
        <f>Board!H8</f>
        <v/>
      </c>
      <c r="C7" s="3">
        <f>Board!H16</f>
        <v/>
      </c>
      <c r="D7" s="3">
        <f>C7-B7</f>
        <v/>
      </c>
      <c r="E7" s="4">
        <f>Board!K8</f>
        <v/>
      </c>
      <c r="F7" s="4">
        <f>Board!K16</f>
        <v/>
      </c>
      <c r="G7" s="4">
        <f>E7/F7</f>
        <v/>
      </c>
      <c r="H7" s="4">
        <f>Board!M8</f>
        <v/>
      </c>
      <c r="I7" s="4">
        <f>Board!M16</f>
        <v/>
      </c>
      <c r="J7" s="4">
        <f>H7/I7</f>
        <v/>
      </c>
      <c r="K7" t="inlineStr">
        <is>
          <t>cuda</t>
        </is>
      </c>
    </row>
    <row r="8">
      <c r="A8" t="inlineStr">
        <is>
          <t>student_kd</t>
        </is>
      </c>
      <c r="B8" s="3">
        <f>Board!H9</f>
        <v/>
      </c>
      <c r="C8" s="3">
        <f>Board!H17</f>
        <v/>
      </c>
      <c r="D8" s="3">
        <f>C8-B8</f>
        <v/>
      </c>
      <c r="E8" s="4">
        <f>Board!K9</f>
        <v/>
      </c>
      <c r="F8" s="4">
        <f>Board!K17</f>
        <v/>
      </c>
      <c r="G8" s="4">
        <f>E8/F8</f>
        <v/>
      </c>
      <c r="H8" s="4">
        <f>Board!M9</f>
        <v/>
      </c>
      <c r="I8" s="4">
        <f>Board!M17</f>
        <v/>
      </c>
      <c r="J8" s="4">
        <f>H8/I8</f>
        <v/>
      </c>
      <c r="K8" t="inlineStr">
        <is>
          <t>cuda</t>
        </is>
      </c>
    </row>
    <row r="9">
      <c r="A9" t="inlineStr">
        <is>
          <t>student_nokd</t>
        </is>
      </c>
      <c r="B9" s="3">
        <f>Board!H10</f>
        <v/>
      </c>
      <c r="C9" s="3">
        <f>Board!H18</f>
        <v/>
      </c>
      <c r="D9" s="3">
        <f>C9-B9</f>
        <v/>
      </c>
      <c r="E9" s="4">
        <f>Board!K10</f>
        <v/>
      </c>
      <c r="F9" s="4">
        <f>Board!K18</f>
        <v/>
      </c>
      <c r="G9" s="4">
        <f>E9/F9</f>
        <v/>
      </c>
      <c r="H9" s="4">
        <f>Board!M10</f>
        <v/>
      </c>
      <c r="I9" s="4">
        <f>Board!M18</f>
        <v/>
      </c>
      <c r="J9" s="4">
        <f>H9/I9</f>
        <v/>
      </c>
      <c r="K9" t="inlineStr">
        <is>
          <t>cuda</t>
        </is>
      </c>
    </row>
    <row r="10">
      <c r="A10" t="inlineStr">
        <is>
          <t>cpu_baseline_int8</t>
        </is>
      </c>
      <c r="B10" s="3">
        <f>Board!H11</f>
        <v/>
      </c>
      <c r="C10" s="3">
        <f>Board!H20</f>
        <v/>
      </c>
      <c r="D10" s="3">
        <f>C10-B10</f>
        <v/>
      </c>
      <c r="E10" s="4">
        <f>Board!K11</f>
        <v/>
      </c>
      <c r="F10" s="4">
        <f>Board!K20</f>
        <v/>
      </c>
      <c r="G10" s="4">
        <f>E10/F10</f>
        <v/>
      </c>
      <c r="H10" s="4">
        <f>Board!M11</f>
        <v/>
      </c>
      <c r="I10" s="4">
        <f>Board!M20</f>
        <v/>
      </c>
      <c r="J10" s="4">
        <f>H10/I10</f>
        <v/>
      </c>
      <c r="K10" t="inlineStr">
        <is>
          <t>cpu</t>
        </is>
      </c>
    </row>
    <row r="12">
      <c r="A12" t="inlineStr">
        <is>
          <t>Quality should agree across hardware (small drift = floating-point order). Latency is what the hardware changes. Note the INT8 and CPU rows run on the CPU of whichever machine this was: the T4 run's CPU is Colab's 2-vCPU Xeon, not the T4.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tag</t>
        </is>
      </c>
      <c r="B1" s="2" t="inlineStr">
        <is>
          <t>config</t>
        </is>
      </c>
      <c r="C1" s="2" t="inlineStr">
        <is>
          <t>seed</t>
        </is>
      </c>
      <c r="D1" s="2" t="inlineStr">
        <is>
          <t>accuracy</t>
        </is>
      </c>
      <c r="E1" s="2" t="inlineStr">
        <is>
          <t>n_test</t>
        </is>
      </c>
      <c r="F1" s="2" t="inlineStr">
        <is>
          <t>ci95</t>
        </is>
      </c>
    </row>
    <row r="2">
      <c r="A2" t="inlineStr">
        <is>
          <t>cpu</t>
        </is>
      </c>
      <c r="B2" t="inlineStr">
        <is>
          <t>baseline_fp32</t>
        </is>
      </c>
      <c r="C2" t="n">
        <v>0</v>
      </c>
      <c r="D2" t="n">
        <v>0.776</v>
      </c>
      <c r="E2" t="n">
        <v>2000</v>
      </c>
      <c r="F2" t="n">
        <v>0.0182724147063271</v>
      </c>
    </row>
    <row r="3">
      <c r="A3" t="inlineStr">
        <is>
          <t>cpu</t>
        </is>
      </c>
      <c r="B3" t="inlineStr">
        <is>
          <t>linear_attn</t>
        </is>
      </c>
      <c r="C3" t="n">
        <v>0</v>
      </c>
      <c r="D3" t="n">
        <v>0.78</v>
      </c>
      <c r="E3" t="n">
        <v>2000</v>
      </c>
      <c r="F3" t="n">
        <v>0.0181551447253939</v>
      </c>
    </row>
    <row r="4">
      <c r="A4" t="inlineStr">
        <is>
          <t>cpu</t>
        </is>
      </c>
      <c r="B4" t="inlineStr">
        <is>
          <t>early_fusion</t>
        </is>
      </c>
      <c r="C4" t="n">
        <v>0</v>
      </c>
      <c r="D4" t="n">
        <v>0.286</v>
      </c>
      <c r="E4" t="n">
        <v>2000</v>
      </c>
      <c r="F4" t="n">
        <v>0.0198049247208869</v>
      </c>
    </row>
    <row r="5">
      <c r="A5" t="inlineStr">
        <is>
          <t>cpu</t>
        </is>
      </c>
      <c r="B5" t="inlineStr">
        <is>
          <t>early_fusion_2x</t>
        </is>
      </c>
      <c r="C5" t="n">
        <v>0</v>
      </c>
      <c r="D5" t="n">
        <v>0.2685</v>
      </c>
      <c r="E5" t="n">
        <v>2000</v>
      </c>
      <c r="F5" t="n">
        <v>0.0194231821852136</v>
      </c>
    </row>
    <row r="6">
      <c r="A6" t="inlineStr">
        <is>
          <t>cpu</t>
        </is>
      </c>
      <c r="B6" t="inlineStr">
        <is>
          <t>student_kd</t>
        </is>
      </c>
      <c r="C6" t="n">
        <v>0</v>
      </c>
      <c r="D6" t="n">
        <v>0.7504999999999999</v>
      </c>
      <c r="E6" t="n">
        <v>2000</v>
      </c>
      <c r="F6" t="n">
        <v>0.0189649497705635</v>
      </c>
    </row>
    <row r="7">
      <c r="A7" t="inlineStr">
        <is>
          <t>cpu</t>
        </is>
      </c>
      <c r="B7" t="inlineStr">
        <is>
          <t>student_nokd</t>
        </is>
      </c>
      <c r="C7" t="n">
        <v>0</v>
      </c>
      <c r="D7" t="n">
        <v>0.733</v>
      </c>
      <c r="E7" t="n">
        <v>2000</v>
      </c>
      <c r="F7" t="n">
        <v>0.0193887000286249</v>
      </c>
    </row>
    <row r="8">
      <c r="A8" t="inlineStr">
        <is>
          <t>cpu</t>
        </is>
      </c>
      <c r="B8" t="inlineStr">
        <is>
          <t>cpu_baseline_int8</t>
        </is>
      </c>
      <c r="C8" t="n">
        <v>0</v>
      </c>
      <c r="D8" t="n">
        <v>0.7765</v>
      </c>
      <c r="E8" t="n">
        <v>2000</v>
      </c>
      <c r="F8" t="n">
        <v>0.018257889204396</v>
      </c>
    </row>
    <row r="9">
      <c r="A9" t="inlineStr">
        <is>
          <t>cpu</t>
        </is>
      </c>
      <c r="B9" t="inlineStr">
        <is>
          <t>baseline_fp32</t>
        </is>
      </c>
      <c r="C9" t="n">
        <v>1</v>
      </c>
      <c r="D9" t="n">
        <v>0.7915</v>
      </c>
      <c r="E9" t="n">
        <v>2000</v>
      </c>
      <c r="F9" t="n">
        <v>0.0178040810546346</v>
      </c>
    </row>
    <row r="10">
      <c r="A10" t="inlineStr">
        <is>
          <t>cpu</t>
        </is>
      </c>
      <c r="B10" t="inlineStr">
        <is>
          <t>linear_attn</t>
        </is>
      </c>
      <c r="C10" t="n">
        <v>1</v>
      </c>
      <c r="D10" t="n">
        <v>0.791</v>
      </c>
      <c r="E10" t="n">
        <v>2000</v>
      </c>
      <c r="F10" t="n">
        <v>0.0178197849369738</v>
      </c>
    </row>
    <row r="11">
      <c r="A11" t="inlineStr">
        <is>
          <t>cpu</t>
        </is>
      </c>
      <c r="B11" t="inlineStr">
        <is>
          <t>early_fusion</t>
        </is>
      </c>
      <c r="C11" t="n">
        <v>1</v>
      </c>
      <c r="D11" t="n">
        <v>0.292</v>
      </c>
      <c r="E11" t="n">
        <v>2000</v>
      </c>
      <c r="F11" t="n">
        <v>0.0199273306993184</v>
      </c>
    </row>
    <row r="12">
      <c r="A12" t="inlineStr">
        <is>
          <t>cpu</t>
        </is>
      </c>
      <c r="B12" t="inlineStr">
        <is>
          <t>early_fusion_2x</t>
        </is>
      </c>
      <c r="C12" t="n">
        <v>1</v>
      </c>
      <c r="D12" t="n">
        <v>0.28</v>
      </c>
      <c r="E12" t="n">
        <v>2000</v>
      </c>
      <c r="F12" t="n">
        <v>0.0196782438240814</v>
      </c>
    </row>
    <row r="13">
      <c r="A13" t="inlineStr">
        <is>
          <t>cpu</t>
        </is>
      </c>
      <c r="B13" t="inlineStr">
        <is>
          <t>student_kd</t>
        </is>
      </c>
      <c r="C13" t="n">
        <v>1</v>
      </c>
      <c r="D13" t="n">
        <v>0.768</v>
      </c>
      <c r="E13" t="n">
        <v>2000</v>
      </c>
      <c r="F13" t="n">
        <v>0.0184997421819872</v>
      </c>
    </row>
    <row r="14">
      <c r="A14" t="inlineStr">
        <is>
          <t>cpu</t>
        </is>
      </c>
      <c r="B14" t="inlineStr">
        <is>
          <t>student_nokd</t>
        </is>
      </c>
      <c r="C14" t="n">
        <v>1</v>
      </c>
      <c r="D14" t="n">
        <v>0.7445000000000001</v>
      </c>
      <c r="E14" t="n">
        <v>2000</v>
      </c>
      <c r="F14" t="n">
        <v>0.0191147612017519</v>
      </c>
    </row>
    <row r="15">
      <c r="A15" t="inlineStr">
        <is>
          <t>cpu</t>
        </is>
      </c>
      <c r="B15" t="inlineStr">
        <is>
          <t>cpu_baseline_int8</t>
        </is>
      </c>
      <c r="C15" t="n">
        <v>1</v>
      </c>
      <c r="D15" t="n">
        <v>0.792</v>
      </c>
      <c r="E15" t="n">
        <v>2000</v>
      </c>
      <c r="F15" t="n">
        <v>0.0177883363134386</v>
      </c>
    </row>
    <row r="16">
      <c r="A16" t="inlineStr">
        <is>
          <t>cpu</t>
        </is>
      </c>
      <c r="B16" t="inlineStr">
        <is>
          <t>baseline_fp32</t>
        </is>
      </c>
      <c r="C16" t="n">
        <v>2</v>
      </c>
      <c r="D16" t="n">
        <v>0.801</v>
      </c>
      <c r="E16" t="n">
        <v>2000</v>
      </c>
      <c r="F16" t="n">
        <v>0.0174978169838411</v>
      </c>
    </row>
    <row r="17">
      <c r="A17" t="inlineStr">
        <is>
          <t>cpu</t>
        </is>
      </c>
      <c r="B17" t="inlineStr">
        <is>
          <t>linear_attn</t>
        </is>
      </c>
      <c r="C17" t="n">
        <v>2</v>
      </c>
      <c r="D17" t="n">
        <v>0.805</v>
      </c>
      <c r="E17" t="n">
        <v>2000</v>
      </c>
      <c r="F17" t="n">
        <v>0.0173642615737036</v>
      </c>
    </row>
    <row r="18">
      <c r="A18" t="inlineStr">
        <is>
          <t>cpu</t>
        </is>
      </c>
      <c r="B18" t="inlineStr">
        <is>
          <t>early_fusion</t>
        </is>
      </c>
      <c r="C18" t="n">
        <v>2</v>
      </c>
      <c r="D18" t="n">
        <v>0.303</v>
      </c>
      <c r="E18" t="n">
        <v>2000</v>
      </c>
      <c r="F18" t="n">
        <v>0.0201408955312319</v>
      </c>
    </row>
    <row r="19">
      <c r="A19" t="inlineStr">
        <is>
          <t>cpu</t>
        </is>
      </c>
      <c r="B19" t="inlineStr">
        <is>
          <t>early_fusion_2x</t>
        </is>
      </c>
      <c r="C19" t="n">
        <v>2</v>
      </c>
      <c r="D19" t="n">
        <v>0.296</v>
      </c>
      <c r="E19" t="n">
        <v>2000</v>
      </c>
      <c r="F19" t="n">
        <v>0.0200065985914647</v>
      </c>
    </row>
    <row r="20">
      <c r="A20" t="inlineStr">
        <is>
          <t>cpu</t>
        </is>
      </c>
      <c r="B20" t="inlineStr">
        <is>
          <t>student_kd</t>
        </is>
      </c>
      <c r="C20" t="n">
        <v>2</v>
      </c>
      <c r="D20" t="n">
        <v>0.755</v>
      </c>
      <c r="E20" t="n">
        <v>2000</v>
      </c>
      <c r="F20" t="n">
        <v>0.0188494026430547</v>
      </c>
    </row>
    <row r="21">
      <c r="A21" t="inlineStr">
        <is>
          <t>cpu</t>
        </is>
      </c>
      <c r="B21" t="inlineStr">
        <is>
          <t>student_nokd</t>
        </is>
      </c>
      <c r="C21" t="n">
        <v>2</v>
      </c>
      <c r="D21" t="n">
        <v>0.7355</v>
      </c>
      <c r="E21" t="n">
        <v>2000</v>
      </c>
      <c r="F21" t="n">
        <v>0.0193305962608503</v>
      </c>
    </row>
    <row r="22">
      <c r="A22" t="inlineStr">
        <is>
          <t>cpu</t>
        </is>
      </c>
      <c r="B22" t="inlineStr">
        <is>
          <t>cpu_baseline_int8</t>
        </is>
      </c>
      <c r="C22" t="n">
        <v>2</v>
      </c>
      <c r="D22" t="n">
        <v>0.8025</v>
      </c>
      <c r="E22" t="n">
        <v>2000</v>
      </c>
      <c r="F22" t="n">
        <v>0.0174480599208049</v>
      </c>
    </row>
    <row r="23">
      <c r="A23" t="inlineStr">
        <is>
          <t>t4gpu</t>
        </is>
      </c>
      <c r="B23" t="inlineStr">
        <is>
          <t>baseline_fp32</t>
        </is>
      </c>
      <c r="C23" t="n">
        <v>0</v>
      </c>
      <c r="D23" t="n">
        <v>0.7775</v>
      </c>
      <c r="E23" t="n">
        <v>2000</v>
      </c>
      <c r="F23" t="n">
        <v>0.0182287244479694</v>
      </c>
    </row>
    <row r="24">
      <c r="A24" t="inlineStr">
        <is>
          <t>t4gpu</t>
        </is>
      </c>
      <c r="B24" t="inlineStr">
        <is>
          <t>baseline_fp16</t>
        </is>
      </c>
      <c r="C24" t="n">
        <v>0</v>
      </c>
      <c r="D24" t="n">
        <v>0.7775</v>
      </c>
      <c r="E24" t="n">
        <v>2000</v>
      </c>
      <c r="F24" t="n">
        <v>0.0182287244479694</v>
      </c>
    </row>
    <row r="25">
      <c r="A25" t="inlineStr">
        <is>
          <t>t4gpu</t>
        </is>
      </c>
      <c r="B25" t="inlineStr">
        <is>
          <t>linear_attn</t>
        </is>
      </c>
      <c r="C25" t="n">
        <v>0</v>
      </c>
      <c r="D25" t="n">
        <v>0.7795</v>
      </c>
      <c r="E25" t="n">
        <v>2000</v>
      </c>
      <c r="F25" t="n">
        <v>0.0181699373636785</v>
      </c>
    </row>
    <row r="26">
      <c r="A26" t="inlineStr">
        <is>
          <t>t4gpu</t>
        </is>
      </c>
      <c r="B26" t="inlineStr">
        <is>
          <t>early_fusion</t>
        </is>
      </c>
      <c r="C26" t="n">
        <v>0</v>
      </c>
      <c r="D26" t="n">
        <v>0.286</v>
      </c>
      <c r="E26" t="n">
        <v>2000</v>
      </c>
      <c r="F26" t="n">
        <v>0.0198049247208869</v>
      </c>
    </row>
    <row r="27">
      <c r="A27" t="inlineStr">
        <is>
          <t>t4gpu</t>
        </is>
      </c>
      <c r="B27" t="inlineStr">
        <is>
          <t>early_fusion_2x</t>
        </is>
      </c>
      <c r="C27" t="n">
        <v>0</v>
      </c>
      <c r="D27" t="n">
        <v>0.2715</v>
      </c>
      <c r="E27" t="n">
        <v>2000</v>
      </c>
      <c r="F27" t="n">
        <v>0.0194912983200196</v>
      </c>
    </row>
    <row r="28">
      <c r="A28" t="inlineStr">
        <is>
          <t>t4gpu</t>
        </is>
      </c>
      <c r="B28" t="inlineStr">
        <is>
          <t>student_kd</t>
        </is>
      </c>
      <c r="C28" t="n">
        <v>0</v>
      </c>
      <c r="D28" t="n">
        <v>0.737</v>
      </c>
      <c r="E28" t="n">
        <v>2000</v>
      </c>
      <c r="F28" t="n">
        <v>0.0192953513779873</v>
      </c>
    </row>
    <row r="29">
      <c r="A29" t="inlineStr">
        <is>
          <t>t4gpu</t>
        </is>
      </c>
      <c r="B29" t="inlineStr">
        <is>
          <t>student_nokd</t>
        </is>
      </c>
      <c r="C29" t="n">
        <v>0</v>
      </c>
      <c r="D29" t="n">
        <v>0.729</v>
      </c>
      <c r="E29" t="n">
        <v>2000</v>
      </c>
      <c r="F29" t="n">
        <v>0.0194800237987534</v>
      </c>
    </row>
    <row r="30">
      <c r="A30" t="inlineStr">
        <is>
          <t>t4gpu</t>
        </is>
      </c>
      <c r="B30" t="inlineStr">
        <is>
          <t>cpu_baseline_fp32</t>
        </is>
      </c>
      <c r="C30" t="n">
        <v>0</v>
      </c>
      <c r="D30" t="n">
        <v>0.7775</v>
      </c>
      <c r="E30" t="n">
        <v>2000</v>
      </c>
      <c r="F30" t="n">
        <v>0.0182287244479694</v>
      </c>
    </row>
    <row r="31">
      <c r="A31" t="inlineStr">
        <is>
          <t>t4gpu</t>
        </is>
      </c>
      <c r="B31" t="inlineStr">
        <is>
          <t>cpu_baseline_int8</t>
        </is>
      </c>
      <c r="C31" t="n">
        <v>0</v>
      </c>
      <c r="D31" t="n">
        <v>0.778</v>
      </c>
      <c r="E31" t="n">
        <v>2000</v>
      </c>
      <c r="F31" t="n">
        <v>0.0182140850113312</v>
      </c>
    </row>
    <row r="32">
      <c r="A32" t="inlineStr">
        <is>
          <t>t4gpu</t>
        </is>
      </c>
      <c r="B32" t="inlineStr">
        <is>
          <t>baseline_fp32</t>
        </is>
      </c>
      <c r="C32" t="n">
        <v>1</v>
      </c>
      <c r="D32" t="n">
        <v>0.7955</v>
      </c>
      <c r="E32" t="n">
        <v>2000</v>
      </c>
      <c r="F32" t="n">
        <v>0.0176769698704274</v>
      </c>
    </row>
    <row r="33">
      <c r="A33" t="inlineStr">
        <is>
          <t>t4gpu</t>
        </is>
      </c>
      <c r="B33" t="inlineStr">
        <is>
          <t>baseline_fp16</t>
        </is>
      </c>
      <c r="C33" t="n">
        <v>1</v>
      </c>
      <c r="D33" t="n">
        <v>0.795</v>
      </c>
      <c r="E33" t="n">
        <v>2000</v>
      </c>
      <c r="F33" t="n">
        <v>0.0176930037020286</v>
      </c>
    </row>
    <row r="34">
      <c r="A34" t="inlineStr">
        <is>
          <t>t4gpu</t>
        </is>
      </c>
      <c r="B34" t="inlineStr">
        <is>
          <t>linear_attn</t>
        </is>
      </c>
      <c r="C34" t="n">
        <v>1</v>
      </c>
      <c r="D34" t="n">
        <v>0.794</v>
      </c>
      <c r="E34" t="n">
        <v>2000</v>
      </c>
      <c r="F34" t="n">
        <v>0.0177249465781987</v>
      </c>
    </row>
    <row r="35">
      <c r="A35" t="inlineStr">
        <is>
          <t>t4gpu</t>
        </is>
      </c>
      <c r="B35" t="inlineStr">
        <is>
          <t>early_fusion</t>
        </is>
      </c>
      <c r="C35" t="n">
        <v>1</v>
      </c>
      <c r="D35" t="n">
        <v>0.292</v>
      </c>
      <c r="E35" t="n">
        <v>2000</v>
      </c>
      <c r="F35" t="n">
        <v>0.0199273306993184</v>
      </c>
    </row>
    <row r="36">
      <c r="A36" t="inlineStr">
        <is>
          <t>t4gpu</t>
        </is>
      </c>
      <c r="B36" t="inlineStr">
        <is>
          <t>early_fusion_2x</t>
        </is>
      </c>
      <c r="C36" t="n">
        <v>1</v>
      </c>
      <c r="D36" t="n">
        <v>0.2765</v>
      </c>
      <c r="E36" t="n">
        <v>2000</v>
      </c>
      <c r="F36" t="n">
        <v>0.0196023396103628</v>
      </c>
    </row>
    <row r="37">
      <c r="A37" t="inlineStr">
        <is>
          <t>t4gpu</t>
        </is>
      </c>
      <c r="B37" t="inlineStr">
        <is>
          <t>student_kd</t>
        </is>
      </c>
      <c r="C37" t="n">
        <v>1</v>
      </c>
      <c r="D37" t="n">
        <v>0.766</v>
      </c>
      <c r="E37" t="n">
        <v>2000</v>
      </c>
      <c r="F37" t="n">
        <v>0.0185551037507204</v>
      </c>
    </row>
    <row r="38">
      <c r="A38" t="inlineStr">
        <is>
          <t>t4gpu</t>
        </is>
      </c>
      <c r="B38" t="inlineStr">
        <is>
          <t>student_nokd</t>
        </is>
      </c>
      <c r="C38" t="n">
        <v>1</v>
      </c>
      <c r="D38" t="n">
        <v>0.7435</v>
      </c>
      <c r="E38" t="n">
        <v>2000</v>
      </c>
      <c r="F38" t="n">
        <v>0.0191392645156495</v>
      </c>
    </row>
    <row r="39">
      <c r="A39" t="inlineStr">
        <is>
          <t>t4gpu</t>
        </is>
      </c>
      <c r="B39" t="inlineStr">
        <is>
          <t>cpu_baseline_fp32</t>
        </is>
      </c>
      <c r="C39" t="n">
        <v>1</v>
      </c>
      <c r="D39" t="n">
        <v>0.7955</v>
      </c>
      <c r="E39" t="n">
        <v>2000</v>
      </c>
      <c r="F39" t="n">
        <v>0.0176769698704274</v>
      </c>
    </row>
    <row r="40">
      <c r="A40" t="inlineStr">
        <is>
          <t>t4gpu</t>
        </is>
      </c>
      <c r="B40" t="inlineStr">
        <is>
          <t>cpu_baseline_int8</t>
        </is>
      </c>
      <c r="C40" t="n">
        <v>1</v>
      </c>
      <c r="D40" t="n">
        <v>0.7935</v>
      </c>
      <c r="E40" t="n">
        <v>2000</v>
      </c>
      <c r="F40" t="n">
        <v>0.0177408558474499</v>
      </c>
    </row>
    <row r="41">
      <c r="A41" t="inlineStr">
        <is>
          <t>t4gpu</t>
        </is>
      </c>
      <c r="B41" t="inlineStr">
        <is>
          <t>baseline_fp32</t>
        </is>
      </c>
      <c r="C41" t="n">
        <v>2</v>
      </c>
      <c r="D41" t="n">
        <v>0.805</v>
      </c>
      <c r="E41" t="n">
        <v>2000</v>
      </c>
      <c r="F41" t="n">
        <v>0.0173642615737036</v>
      </c>
    </row>
    <row r="42">
      <c r="A42" t="inlineStr">
        <is>
          <t>t4gpu</t>
        </is>
      </c>
      <c r="B42" t="inlineStr">
        <is>
          <t>baseline_fp16</t>
        </is>
      </c>
      <c r="C42" t="n">
        <v>2</v>
      </c>
      <c r="D42" t="n">
        <v>0.803</v>
      </c>
      <c r="E42" t="n">
        <v>2000</v>
      </c>
      <c r="F42" t="n">
        <v>0.0174313875752907</v>
      </c>
    </row>
    <row r="43">
      <c r="A43" t="inlineStr">
        <is>
          <t>t4gpu</t>
        </is>
      </c>
      <c r="B43" t="inlineStr">
        <is>
          <t>linear_attn</t>
        </is>
      </c>
      <c r="C43" t="n">
        <v>2</v>
      </c>
      <c r="D43" t="n">
        <v>0.8055</v>
      </c>
      <c r="E43" t="n">
        <v>2000</v>
      </c>
      <c r="F43" t="n">
        <v>0.0173473702848587</v>
      </c>
    </row>
    <row r="44">
      <c r="A44" t="inlineStr">
        <is>
          <t>t4gpu</t>
        </is>
      </c>
      <c r="B44" t="inlineStr">
        <is>
          <t>early_fusion</t>
        </is>
      </c>
      <c r="C44" t="n">
        <v>2</v>
      </c>
      <c r="D44" t="n">
        <v>0.303</v>
      </c>
      <c r="E44" t="n">
        <v>2000</v>
      </c>
      <c r="F44" t="n">
        <v>0.0201408955312319</v>
      </c>
    </row>
    <row r="45">
      <c r="A45" t="inlineStr">
        <is>
          <t>t4gpu</t>
        </is>
      </c>
      <c r="B45" t="inlineStr">
        <is>
          <t>early_fusion_2x</t>
        </is>
      </c>
      <c r="C45" t="n">
        <v>2</v>
      </c>
      <c r="D45" t="n">
        <v>0.2755</v>
      </c>
      <c r="E45" t="n">
        <v>2000</v>
      </c>
      <c r="F45" t="n">
        <v>0.0195803779279154</v>
      </c>
    </row>
    <row r="46">
      <c r="A46" t="inlineStr">
        <is>
          <t>t4gpu</t>
        </is>
      </c>
      <c r="B46" t="inlineStr">
        <is>
          <t>student_kd</t>
        </is>
      </c>
      <c r="C46" t="n">
        <v>2</v>
      </c>
      <c r="D46" t="n">
        <v>0.755</v>
      </c>
      <c r="E46" t="n">
        <v>2000</v>
      </c>
      <c r="F46" t="n">
        <v>0.0188494026430547</v>
      </c>
    </row>
    <row r="47">
      <c r="A47" t="inlineStr">
        <is>
          <t>t4gpu</t>
        </is>
      </c>
      <c r="B47" t="inlineStr">
        <is>
          <t>student_nokd</t>
        </is>
      </c>
      <c r="C47" t="n">
        <v>2</v>
      </c>
      <c r="D47" t="n">
        <v>0.735</v>
      </c>
      <c r="E47" t="n">
        <v>2000</v>
      </c>
      <c r="F47" t="n">
        <v>0.0193422806307839</v>
      </c>
    </row>
    <row r="48">
      <c r="A48" t="inlineStr">
        <is>
          <t>t4gpu</t>
        </is>
      </c>
      <c r="B48" t="inlineStr">
        <is>
          <t>cpu_baseline_fp32</t>
        </is>
      </c>
      <c r="C48" t="n">
        <v>2</v>
      </c>
      <c r="D48" t="n">
        <v>0.805</v>
      </c>
      <c r="E48" t="n">
        <v>2000</v>
      </c>
      <c r="F48" t="n">
        <v>0.0173642615737036</v>
      </c>
    </row>
    <row r="49">
      <c r="A49" t="inlineStr">
        <is>
          <t>t4gpu</t>
        </is>
      </c>
      <c r="B49" t="inlineStr">
        <is>
          <t>cpu_baseline_int8</t>
        </is>
      </c>
      <c r="C49" t="n">
        <v>2</v>
      </c>
      <c r="D49" t="n">
        <v>0.8045</v>
      </c>
      <c r="E49" t="n">
        <v>2000</v>
      </c>
      <c r="F49" t="n">
        <v>0.0173811088196351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tag</t>
        </is>
      </c>
      <c r="B1" s="2" t="inlineStr">
        <is>
          <t>config</t>
        </is>
      </c>
      <c r="C1" s="2" t="inlineStr">
        <is>
          <t>device</t>
        </is>
      </c>
      <c r="D1" s="2" t="inlineStr">
        <is>
          <t>trial</t>
        </is>
      </c>
      <c r="E1" s="2" t="inlineStr">
        <is>
          <t>p50_ms</t>
        </is>
      </c>
      <c r="F1" s="2" t="inlineStr">
        <is>
          <t>p95_ms</t>
        </is>
      </c>
      <c r="G1" s="2" t="inlineStr">
        <is>
          <t>mean_ms</t>
        </is>
      </c>
      <c r="H1" s="2" t="inlineStr">
        <is>
          <t>std_ms</t>
        </is>
      </c>
      <c r="I1" s="2" t="inlineStr">
        <is>
          <t>n_iter</t>
        </is>
      </c>
    </row>
    <row r="2">
      <c r="A2" t="inlineStr">
        <is>
          <t>cpu</t>
        </is>
      </c>
      <c r="B2" t="inlineStr">
        <is>
          <t>student_kd</t>
        </is>
      </c>
      <c r="C2" t="inlineStr">
        <is>
          <t>cpu</t>
        </is>
      </c>
      <c r="D2" t="n">
        <v>0</v>
      </c>
      <c r="E2" t="n">
        <v>0.4007000006822636</v>
      </c>
      <c r="F2" t="n">
        <v>0.6241149980269257</v>
      </c>
      <c r="G2" t="n">
        <v>0.442415666608819</v>
      </c>
      <c r="H2" t="n">
        <v>0.1466032535129308</v>
      </c>
      <c r="I2" t="n">
        <v>300</v>
      </c>
    </row>
    <row r="3">
      <c r="A3" t="inlineStr">
        <is>
          <t>cpu</t>
        </is>
      </c>
      <c r="B3" t="inlineStr">
        <is>
          <t>early_fusion</t>
        </is>
      </c>
      <c r="C3" t="inlineStr">
        <is>
          <t>cpu</t>
        </is>
      </c>
      <c r="D3" t="n">
        <v>0</v>
      </c>
      <c r="E3" t="n">
        <v>0.5656499997712672</v>
      </c>
      <c r="F3" t="n">
        <v>0.7897900024545379</v>
      </c>
      <c r="G3" t="n">
        <v>0.6015913333249046</v>
      </c>
      <c r="H3" t="n">
        <v>0.1247870113653778</v>
      </c>
      <c r="I3" t="n">
        <v>300</v>
      </c>
    </row>
    <row r="4">
      <c r="A4" t="inlineStr">
        <is>
          <t>cpu</t>
        </is>
      </c>
      <c r="B4" t="inlineStr">
        <is>
          <t>linear_attn</t>
        </is>
      </c>
      <c r="C4" t="inlineStr">
        <is>
          <t>cpu</t>
        </is>
      </c>
      <c r="D4" t="n">
        <v>0</v>
      </c>
      <c r="E4" t="n">
        <v>0.8355499994650017</v>
      </c>
      <c r="F4" t="n">
        <v>1.144079998630332</v>
      </c>
      <c r="G4" t="n">
        <v>0.8891493332218184</v>
      </c>
      <c r="H4" t="n">
        <v>0.198649270672288</v>
      </c>
      <c r="I4" t="n">
        <v>300</v>
      </c>
    </row>
    <row r="5">
      <c r="A5" t="inlineStr">
        <is>
          <t>cpu</t>
        </is>
      </c>
      <c r="B5" t="inlineStr">
        <is>
          <t>baseline_fp32</t>
        </is>
      </c>
      <c r="C5" t="inlineStr">
        <is>
          <t>cpu</t>
        </is>
      </c>
      <c r="D5" t="n">
        <v>0</v>
      </c>
      <c r="E5" t="n">
        <v>0.628700001470861</v>
      </c>
      <c r="F5" t="n">
        <v>0.9152749997156208</v>
      </c>
      <c r="G5" t="n">
        <v>0.6709893332905873</v>
      </c>
      <c r="H5" t="n">
        <v>0.1324043329398911</v>
      </c>
      <c r="I5" t="n">
        <v>300</v>
      </c>
    </row>
    <row r="6">
      <c r="A6" t="inlineStr">
        <is>
          <t>cpu</t>
        </is>
      </c>
      <c r="B6" t="inlineStr">
        <is>
          <t>student_nokd</t>
        </is>
      </c>
      <c r="C6" t="inlineStr">
        <is>
          <t>cpu</t>
        </is>
      </c>
      <c r="D6" t="n">
        <v>0</v>
      </c>
      <c r="E6" t="n">
        <v>0.3944000000046799</v>
      </c>
      <c r="F6" t="n">
        <v>0.6716449983287021</v>
      </c>
      <c r="G6" t="n">
        <v>0.438519000041803</v>
      </c>
      <c r="H6" t="n">
        <v>0.1417626398492653</v>
      </c>
      <c r="I6" t="n">
        <v>300</v>
      </c>
    </row>
    <row r="7">
      <c r="A7" t="inlineStr">
        <is>
          <t>cpu</t>
        </is>
      </c>
      <c r="B7" t="inlineStr">
        <is>
          <t>early_fusion_2x</t>
        </is>
      </c>
      <c r="C7" t="inlineStr">
        <is>
          <t>cpu</t>
        </is>
      </c>
      <c r="D7" t="n">
        <v>0</v>
      </c>
      <c r="E7" t="n">
        <v>0.6082500003685709</v>
      </c>
      <c r="F7" t="n">
        <v>0.8874999977706466</v>
      </c>
      <c r="G7" t="n">
        <v>0.6597476667714849</v>
      </c>
      <c r="H7" t="n">
        <v>0.1522061389518207</v>
      </c>
      <c r="I7" t="n">
        <v>300</v>
      </c>
    </row>
    <row r="8">
      <c r="A8" t="inlineStr">
        <is>
          <t>cpu</t>
        </is>
      </c>
      <c r="B8" t="inlineStr">
        <is>
          <t>cpu_baseline_int8</t>
        </is>
      </c>
      <c r="C8" t="inlineStr">
        <is>
          <t>cpu</t>
        </is>
      </c>
      <c r="D8" t="n">
        <v>0</v>
      </c>
      <c r="E8" t="n">
        <v>1.052749999871594</v>
      </c>
      <c r="F8" t="n">
        <v>1.513149999300367</v>
      </c>
      <c r="G8" t="n">
        <v>1.124364666526769</v>
      </c>
      <c r="H8" t="n">
        <v>0.1881770074516917</v>
      </c>
      <c r="I8" t="n">
        <v>300</v>
      </c>
    </row>
    <row r="9">
      <c r="A9" t="inlineStr">
        <is>
          <t>cpu</t>
        </is>
      </c>
      <c r="B9" t="inlineStr">
        <is>
          <t>linear_attn</t>
        </is>
      </c>
      <c r="C9" t="inlineStr">
        <is>
          <t>cpu</t>
        </is>
      </c>
      <c r="D9" t="n">
        <v>1</v>
      </c>
      <c r="E9" t="n">
        <v>0.8452000001852866</v>
      </c>
      <c r="F9" t="n">
        <v>1.327500001207227</v>
      </c>
      <c r="G9" t="n">
        <v>0.9168009999363372</v>
      </c>
      <c r="H9" t="n">
        <v>0.1986547349926734</v>
      </c>
      <c r="I9" t="n">
        <v>300</v>
      </c>
    </row>
    <row r="10">
      <c r="A10" t="inlineStr">
        <is>
          <t>cpu</t>
        </is>
      </c>
      <c r="B10" t="inlineStr">
        <is>
          <t>baseline_fp32</t>
        </is>
      </c>
      <c r="C10" t="inlineStr">
        <is>
          <t>cpu</t>
        </is>
      </c>
      <c r="D10" t="n">
        <v>1</v>
      </c>
      <c r="E10" t="n">
        <v>0.624549998974544</v>
      </c>
      <c r="F10" t="n">
        <v>0.9717600019939709</v>
      </c>
      <c r="G10" t="n">
        <v>0.6852900000861458</v>
      </c>
      <c r="H10" t="n">
        <v>0.1658647481914018</v>
      </c>
      <c r="I10" t="n">
        <v>300</v>
      </c>
    </row>
    <row r="11">
      <c r="A11" t="inlineStr">
        <is>
          <t>cpu</t>
        </is>
      </c>
      <c r="B11" t="inlineStr">
        <is>
          <t>student_kd</t>
        </is>
      </c>
      <c r="C11" t="inlineStr">
        <is>
          <t>cpu</t>
        </is>
      </c>
      <c r="D11" t="n">
        <v>1</v>
      </c>
      <c r="E11" t="n">
        <v>0.3919999999197898</v>
      </c>
      <c r="F11" t="n">
        <v>0.6428649992813008</v>
      </c>
      <c r="G11" t="n">
        <v>0.4269150000133474</v>
      </c>
      <c r="H11" t="n">
        <v>0.1179272361831791</v>
      </c>
      <c r="I11" t="n">
        <v>300</v>
      </c>
    </row>
    <row r="12">
      <c r="A12" t="inlineStr">
        <is>
          <t>cpu</t>
        </is>
      </c>
      <c r="B12" t="inlineStr">
        <is>
          <t>student_nokd</t>
        </is>
      </c>
      <c r="C12" t="inlineStr">
        <is>
          <t>cpu</t>
        </is>
      </c>
      <c r="D12" t="n">
        <v>1</v>
      </c>
      <c r="E12" t="n">
        <v>0.3819999983534217</v>
      </c>
      <c r="F12" t="n">
        <v>0.593204999313457</v>
      </c>
      <c r="G12" t="n">
        <v>0.4113663333434185</v>
      </c>
      <c r="H12" t="n">
        <v>0.0983711394152459</v>
      </c>
      <c r="I12" t="n">
        <v>300</v>
      </c>
    </row>
    <row r="13">
      <c r="A13" t="inlineStr">
        <is>
          <t>cpu</t>
        </is>
      </c>
      <c r="B13" t="inlineStr">
        <is>
          <t>cpu_baseline_int8</t>
        </is>
      </c>
      <c r="C13" t="inlineStr">
        <is>
          <t>cpu</t>
        </is>
      </c>
      <c r="D13" t="n">
        <v>1</v>
      </c>
      <c r="E13" t="n">
        <v>1.050849999955972</v>
      </c>
      <c r="F13" t="n">
        <v>1.579079999828537</v>
      </c>
      <c r="G13" t="n">
        <v>1.137501666683723</v>
      </c>
      <c r="H13" t="n">
        <v>0.2301819799818312</v>
      </c>
      <c r="I13" t="n">
        <v>300</v>
      </c>
    </row>
    <row r="14">
      <c r="A14" t="inlineStr">
        <is>
          <t>cpu</t>
        </is>
      </c>
      <c r="B14" t="inlineStr">
        <is>
          <t>early_fusion</t>
        </is>
      </c>
      <c r="C14" t="inlineStr">
        <is>
          <t>cpu</t>
        </is>
      </c>
      <c r="D14" t="n">
        <v>1</v>
      </c>
      <c r="E14" t="n">
        <v>0.5559499986702576</v>
      </c>
      <c r="F14" t="n">
        <v>0.8239600007073024</v>
      </c>
      <c r="G14" t="n">
        <v>0.595993000024464</v>
      </c>
      <c r="H14" t="n">
        <v>0.1259615147574253</v>
      </c>
      <c r="I14" t="n">
        <v>300</v>
      </c>
    </row>
    <row r="15">
      <c r="A15" t="inlineStr">
        <is>
          <t>cpu</t>
        </is>
      </c>
      <c r="B15" t="inlineStr">
        <is>
          <t>early_fusion_2x</t>
        </is>
      </c>
      <c r="C15" t="inlineStr">
        <is>
          <t>cpu</t>
        </is>
      </c>
      <c r="D15" t="n">
        <v>1</v>
      </c>
      <c r="E15" t="n">
        <v>0.5658999998559011</v>
      </c>
      <c r="F15" t="n">
        <v>0.8264400010375539</v>
      </c>
      <c r="G15" t="n">
        <v>0.6070956667341912</v>
      </c>
      <c r="H15" t="n">
        <v>0.1391013270039292</v>
      </c>
      <c r="I15" t="n">
        <v>300</v>
      </c>
    </row>
    <row r="16">
      <c r="A16" t="inlineStr">
        <is>
          <t>cpu</t>
        </is>
      </c>
      <c r="B16" t="inlineStr">
        <is>
          <t>cpu_baseline_int8</t>
        </is>
      </c>
      <c r="C16" t="inlineStr">
        <is>
          <t>cpu</t>
        </is>
      </c>
      <c r="D16" t="n">
        <v>2</v>
      </c>
      <c r="E16" t="n">
        <v>1.041800000166404</v>
      </c>
      <c r="F16" t="n">
        <v>1.427860000148939</v>
      </c>
      <c r="G16" t="n">
        <v>1.104327666641136</v>
      </c>
      <c r="H16" t="n">
        <v>0.1716793899027229</v>
      </c>
      <c r="I16" t="n">
        <v>300</v>
      </c>
    </row>
    <row r="17">
      <c r="A17" t="inlineStr">
        <is>
          <t>cpu</t>
        </is>
      </c>
      <c r="B17" t="inlineStr">
        <is>
          <t>early_fusion_2x</t>
        </is>
      </c>
      <c r="C17" t="inlineStr">
        <is>
          <t>cpu</t>
        </is>
      </c>
      <c r="D17" t="n">
        <v>2</v>
      </c>
      <c r="E17" t="n">
        <v>0.5915000001550652</v>
      </c>
      <c r="F17" t="n">
        <v>0.91229999816278</v>
      </c>
      <c r="G17" t="n">
        <v>0.646850333432667</v>
      </c>
      <c r="H17" t="n">
        <v>0.1588000425507692</v>
      </c>
      <c r="I17" t="n">
        <v>300</v>
      </c>
    </row>
    <row r="18">
      <c r="A18" t="inlineStr">
        <is>
          <t>cpu</t>
        </is>
      </c>
      <c r="B18" t="inlineStr">
        <is>
          <t>baseline_fp32</t>
        </is>
      </c>
      <c r="C18" t="inlineStr">
        <is>
          <t>cpu</t>
        </is>
      </c>
      <c r="D18" t="n">
        <v>2</v>
      </c>
      <c r="E18" t="n">
        <v>0.6216000001586508</v>
      </c>
      <c r="F18" t="n">
        <v>0.9134750023804374</v>
      </c>
      <c r="G18" t="n">
        <v>0.6619320000875936</v>
      </c>
      <c r="H18" t="n">
        <v>0.1236109554836426</v>
      </c>
      <c r="I18" t="n">
        <v>300</v>
      </c>
    </row>
    <row r="19">
      <c r="A19" t="inlineStr">
        <is>
          <t>cpu</t>
        </is>
      </c>
      <c r="B19" t="inlineStr">
        <is>
          <t>student_nokd</t>
        </is>
      </c>
      <c r="C19" t="inlineStr">
        <is>
          <t>cpu</t>
        </is>
      </c>
      <c r="D19" t="n">
        <v>2</v>
      </c>
      <c r="E19" t="n">
        <v>0.3884500001731794</v>
      </c>
      <c r="F19" t="n">
        <v>0.6139749997601029</v>
      </c>
      <c r="G19" t="n">
        <v>0.4196586665057111</v>
      </c>
      <c r="H19" t="n">
        <v>0.1039595587089108</v>
      </c>
      <c r="I19" t="n">
        <v>300</v>
      </c>
    </row>
    <row r="20">
      <c r="A20" t="inlineStr">
        <is>
          <t>cpu</t>
        </is>
      </c>
      <c r="B20" t="inlineStr">
        <is>
          <t>early_fusion</t>
        </is>
      </c>
      <c r="C20" t="inlineStr">
        <is>
          <t>cpu</t>
        </is>
      </c>
      <c r="D20" t="n">
        <v>2</v>
      </c>
      <c r="E20" t="n">
        <v>0.5586500010394957</v>
      </c>
      <c r="F20" t="n">
        <v>0.8317650010212676</v>
      </c>
      <c r="G20" t="n">
        <v>0.6090313331272531</v>
      </c>
      <c r="H20" t="n">
        <v>0.1608230949807019</v>
      </c>
      <c r="I20" t="n">
        <v>300</v>
      </c>
    </row>
    <row r="21">
      <c r="A21" t="inlineStr">
        <is>
          <t>cpu</t>
        </is>
      </c>
      <c r="B21" t="inlineStr">
        <is>
          <t>linear_attn</t>
        </is>
      </c>
      <c r="C21" t="inlineStr">
        <is>
          <t>cpu</t>
        </is>
      </c>
      <c r="D21" t="n">
        <v>2</v>
      </c>
      <c r="E21" t="n">
        <v>0.8338999996340135</v>
      </c>
      <c r="F21" t="n">
        <v>1.15384500259097</v>
      </c>
      <c r="G21" t="n">
        <v>0.8969089999057663</v>
      </c>
      <c r="H21" t="n">
        <v>0.2122135262012756</v>
      </c>
      <c r="I21" t="n">
        <v>300</v>
      </c>
    </row>
    <row r="22">
      <c r="A22" t="inlineStr">
        <is>
          <t>cpu</t>
        </is>
      </c>
      <c r="B22" t="inlineStr">
        <is>
          <t>student_kd</t>
        </is>
      </c>
      <c r="C22" t="inlineStr">
        <is>
          <t>cpu</t>
        </is>
      </c>
      <c r="D22" t="n">
        <v>2</v>
      </c>
      <c r="E22" t="n">
        <v>0.3816000025835819</v>
      </c>
      <c r="F22" t="n">
        <v>0.5564399989452797</v>
      </c>
      <c r="G22" t="n">
        <v>0.407272000084049</v>
      </c>
      <c r="H22" t="n">
        <v>0.1114826449655077</v>
      </c>
      <c r="I22" t="n">
        <v>300</v>
      </c>
    </row>
    <row r="23">
      <c r="A23" t="inlineStr">
        <is>
          <t>cpu</t>
        </is>
      </c>
      <c r="B23" t="inlineStr">
        <is>
          <t>early_fusion</t>
        </is>
      </c>
      <c r="C23" t="inlineStr">
        <is>
          <t>cpu</t>
        </is>
      </c>
      <c r="D23" t="n">
        <v>3</v>
      </c>
      <c r="E23" t="n">
        <v>0.5523999989236472</v>
      </c>
      <c r="F23" t="n">
        <v>0.7394600012048614</v>
      </c>
      <c r="G23" t="n">
        <v>0.5801126666362203</v>
      </c>
      <c r="H23" t="n">
        <v>0.0992707219537614</v>
      </c>
      <c r="I23" t="n">
        <v>300</v>
      </c>
    </row>
    <row r="24">
      <c r="A24" t="inlineStr">
        <is>
          <t>cpu</t>
        </is>
      </c>
      <c r="B24" t="inlineStr">
        <is>
          <t>baseline_fp32</t>
        </is>
      </c>
      <c r="C24" t="inlineStr">
        <is>
          <t>cpu</t>
        </is>
      </c>
      <c r="D24" t="n">
        <v>3</v>
      </c>
      <c r="E24" t="n">
        <v>0.611449999269098</v>
      </c>
      <c r="F24" t="n">
        <v>0.8401200011576294</v>
      </c>
      <c r="G24" t="n">
        <v>0.6499073333664759</v>
      </c>
      <c r="H24" t="n">
        <v>0.1344259723518</v>
      </c>
      <c r="I24" t="n">
        <v>300</v>
      </c>
    </row>
    <row r="25">
      <c r="A25" t="inlineStr">
        <is>
          <t>cpu</t>
        </is>
      </c>
      <c r="B25" t="inlineStr">
        <is>
          <t>early_fusion_2x</t>
        </is>
      </c>
      <c r="C25" t="inlineStr">
        <is>
          <t>cpu</t>
        </is>
      </c>
      <c r="D25" t="n">
        <v>3</v>
      </c>
      <c r="E25" t="n">
        <v>0.5686999993486097</v>
      </c>
      <c r="F25" t="n">
        <v>0.9210499985783828</v>
      </c>
      <c r="G25" t="n">
        <v>0.6294090000301367</v>
      </c>
      <c r="H25" t="n">
        <v>0.181210034166063</v>
      </c>
      <c r="I25" t="n">
        <v>300</v>
      </c>
    </row>
    <row r="26">
      <c r="A26" t="inlineStr">
        <is>
          <t>cpu</t>
        </is>
      </c>
      <c r="B26" t="inlineStr">
        <is>
          <t>linear_attn</t>
        </is>
      </c>
      <c r="C26" t="inlineStr">
        <is>
          <t>cpu</t>
        </is>
      </c>
      <c r="D26" t="n">
        <v>3</v>
      </c>
      <c r="E26" t="n">
        <v>0.8449500001006527</v>
      </c>
      <c r="F26" t="n">
        <v>1.289360003283946</v>
      </c>
      <c r="G26" t="n">
        <v>0.9168793333083158</v>
      </c>
      <c r="H26" t="n">
        <v>0.2023488997228212</v>
      </c>
      <c r="I26" t="n">
        <v>300</v>
      </c>
    </row>
    <row r="27">
      <c r="A27" t="inlineStr">
        <is>
          <t>cpu</t>
        </is>
      </c>
      <c r="B27" t="inlineStr">
        <is>
          <t>cpu_baseline_int8</t>
        </is>
      </c>
      <c r="C27" t="inlineStr">
        <is>
          <t>cpu</t>
        </is>
      </c>
      <c r="D27" t="n">
        <v>3</v>
      </c>
      <c r="E27" t="n">
        <v>1.033699998515658</v>
      </c>
      <c r="F27" t="n">
        <v>1.560755003083614</v>
      </c>
      <c r="G27" t="n">
        <v>1.124302333397888</v>
      </c>
      <c r="H27" t="n">
        <v>0.2353319774346555</v>
      </c>
      <c r="I27" t="n">
        <v>300</v>
      </c>
    </row>
    <row r="28">
      <c r="A28" t="inlineStr">
        <is>
          <t>cpu</t>
        </is>
      </c>
      <c r="B28" t="inlineStr">
        <is>
          <t>student_nokd</t>
        </is>
      </c>
      <c r="C28" t="inlineStr">
        <is>
          <t>cpu</t>
        </is>
      </c>
      <c r="D28" t="n">
        <v>3</v>
      </c>
      <c r="E28" t="n">
        <v>0.3930500006390502</v>
      </c>
      <c r="F28" t="n">
        <v>0.5956899973170949</v>
      </c>
      <c r="G28" t="n">
        <v>0.4172243333960068</v>
      </c>
      <c r="H28" t="n">
        <v>0.0791719619894599</v>
      </c>
      <c r="I28" t="n">
        <v>300</v>
      </c>
    </row>
    <row r="29">
      <c r="A29" t="inlineStr">
        <is>
          <t>cpu</t>
        </is>
      </c>
      <c r="B29" t="inlineStr">
        <is>
          <t>student_kd</t>
        </is>
      </c>
      <c r="C29" t="inlineStr">
        <is>
          <t>cpu</t>
        </is>
      </c>
      <c r="D29" t="n">
        <v>3</v>
      </c>
      <c r="E29" t="n">
        <v>0.3750499981833854</v>
      </c>
      <c r="F29" t="n">
        <v>0.5595149996224791</v>
      </c>
      <c r="G29" t="n">
        <v>0.4062699999000567</v>
      </c>
      <c r="H29" t="n">
        <v>0.1105558920088901</v>
      </c>
      <c r="I29" t="n">
        <v>300</v>
      </c>
    </row>
    <row r="30">
      <c r="A30" t="inlineStr">
        <is>
          <t>cpu</t>
        </is>
      </c>
      <c r="B30" t="inlineStr">
        <is>
          <t>linear_attn</t>
        </is>
      </c>
      <c r="C30" t="inlineStr">
        <is>
          <t>cpu</t>
        </is>
      </c>
      <c r="D30" t="n">
        <v>4</v>
      </c>
      <c r="E30" t="n">
        <v>0.8683499981998466</v>
      </c>
      <c r="F30" t="n">
        <v>1.307790001555986</v>
      </c>
      <c r="G30" t="n">
        <v>0.9378286667197244</v>
      </c>
      <c r="H30" t="n">
        <v>0.2773096305878955</v>
      </c>
      <c r="I30" t="n">
        <v>300</v>
      </c>
    </row>
    <row r="31">
      <c r="A31" t="inlineStr">
        <is>
          <t>cpu</t>
        </is>
      </c>
      <c r="B31" t="inlineStr">
        <is>
          <t>cpu_baseline_int8</t>
        </is>
      </c>
      <c r="C31" t="inlineStr">
        <is>
          <t>cpu</t>
        </is>
      </c>
      <c r="D31" t="n">
        <v>4</v>
      </c>
      <c r="E31" t="n">
        <v>1.049349999448168</v>
      </c>
      <c r="F31" t="n">
        <v>1.684100000056788</v>
      </c>
      <c r="G31" t="n">
        <v>1.155604000099023</v>
      </c>
      <c r="H31" t="n">
        <v>0.27388895689817</v>
      </c>
      <c r="I31" t="n">
        <v>300</v>
      </c>
    </row>
    <row r="32">
      <c r="A32" t="inlineStr">
        <is>
          <t>cpu</t>
        </is>
      </c>
      <c r="B32" t="inlineStr">
        <is>
          <t>student_kd</t>
        </is>
      </c>
      <c r="C32" t="inlineStr">
        <is>
          <t>cpu</t>
        </is>
      </c>
      <c r="D32" t="n">
        <v>4</v>
      </c>
      <c r="E32" t="n">
        <v>0.4066000001330394</v>
      </c>
      <c r="F32" t="n">
        <v>0.6152150015623192</v>
      </c>
      <c r="G32" t="n">
        <v>0.4329206665958433</v>
      </c>
      <c r="H32" t="n">
        <v>0.09086992580585609</v>
      </c>
      <c r="I32" t="n">
        <v>300</v>
      </c>
    </row>
    <row r="33">
      <c r="A33" t="inlineStr">
        <is>
          <t>cpu</t>
        </is>
      </c>
      <c r="B33" t="inlineStr">
        <is>
          <t>early_fusion_2x</t>
        </is>
      </c>
      <c r="C33" t="inlineStr">
        <is>
          <t>cpu</t>
        </is>
      </c>
      <c r="D33" t="n">
        <v>4</v>
      </c>
      <c r="E33" t="n">
        <v>0.5754499998147367</v>
      </c>
      <c r="F33" t="n">
        <v>0.8522200008883374</v>
      </c>
      <c r="G33" t="n">
        <v>0.6218553332534308</v>
      </c>
      <c r="H33" t="n">
        <v>0.146078670756196</v>
      </c>
      <c r="I33" t="n">
        <v>300</v>
      </c>
    </row>
    <row r="34">
      <c r="A34" t="inlineStr">
        <is>
          <t>cpu</t>
        </is>
      </c>
      <c r="B34" t="inlineStr">
        <is>
          <t>early_fusion</t>
        </is>
      </c>
      <c r="C34" t="inlineStr">
        <is>
          <t>cpu</t>
        </is>
      </c>
      <c r="D34" t="n">
        <v>4</v>
      </c>
      <c r="E34" t="n">
        <v>0.5629000006592833</v>
      </c>
      <c r="F34" t="n">
        <v>0.8370749972527849</v>
      </c>
      <c r="G34" t="n">
        <v>0.6083493332092379</v>
      </c>
      <c r="H34" t="n">
        <v>0.1380210203218954</v>
      </c>
      <c r="I34" t="n">
        <v>300</v>
      </c>
    </row>
    <row r="35">
      <c r="A35" t="inlineStr">
        <is>
          <t>cpu</t>
        </is>
      </c>
      <c r="B35" t="inlineStr">
        <is>
          <t>baseline_fp32</t>
        </is>
      </c>
      <c r="C35" t="inlineStr">
        <is>
          <t>cpu</t>
        </is>
      </c>
      <c r="D35" t="n">
        <v>4</v>
      </c>
      <c r="E35" t="n">
        <v>0.6150999997771578</v>
      </c>
      <c r="F35" t="n">
        <v>0.8269250009107058</v>
      </c>
      <c r="G35" t="n">
        <v>0.6498393333701339</v>
      </c>
      <c r="H35" t="n">
        <v>0.1165290409154566</v>
      </c>
      <c r="I35" t="n">
        <v>300</v>
      </c>
    </row>
    <row r="36">
      <c r="A36" t="inlineStr">
        <is>
          <t>cpu</t>
        </is>
      </c>
      <c r="B36" t="inlineStr">
        <is>
          <t>student_nokd</t>
        </is>
      </c>
      <c r="C36" t="inlineStr">
        <is>
          <t>cpu</t>
        </is>
      </c>
      <c r="D36" t="n">
        <v>4</v>
      </c>
      <c r="E36" t="n">
        <v>0.3831000012723962</v>
      </c>
      <c r="F36" t="n">
        <v>0.5725200009692344</v>
      </c>
      <c r="G36" t="n">
        <v>0.4034189998734898</v>
      </c>
      <c r="H36" t="n">
        <v>0.0719990626248663</v>
      </c>
      <c r="I36" t="n">
        <v>300</v>
      </c>
    </row>
    <row r="37">
      <c r="A37" t="inlineStr">
        <is>
          <t>t4gpu</t>
        </is>
      </c>
      <c r="B37" t="inlineStr">
        <is>
          <t>cpu_baseline_fp32</t>
        </is>
      </c>
      <c r="C37" t="inlineStr">
        <is>
          <t>cpu</t>
        </is>
      </c>
      <c r="D37" t="n">
        <v>0</v>
      </c>
      <c r="E37" t="n">
        <v>1.618636000102924</v>
      </c>
      <c r="F37" t="n">
        <v>1.978295350124881</v>
      </c>
      <c r="G37" t="n">
        <v>1.685564606671808</v>
      </c>
      <c r="H37" t="n">
        <v>0.2797914858190699</v>
      </c>
      <c r="I37" t="n">
        <v>300</v>
      </c>
    </row>
    <row r="38">
      <c r="A38" t="inlineStr">
        <is>
          <t>t4gpu</t>
        </is>
      </c>
      <c r="B38" t="inlineStr">
        <is>
          <t>student_kd</t>
        </is>
      </c>
      <c r="C38" t="inlineStr">
        <is>
          <t>cuda</t>
        </is>
      </c>
      <c r="D38" t="n">
        <v>0</v>
      </c>
      <c r="E38" t="n">
        <v>1.089445000047817</v>
      </c>
      <c r="F38" t="n">
        <v>1.260078050120228</v>
      </c>
      <c r="G38" t="n">
        <v>1.113038440001522</v>
      </c>
      <c r="H38" t="n">
        <v>0.0864609058619993</v>
      </c>
      <c r="I38" t="n">
        <v>300</v>
      </c>
    </row>
    <row r="39">
      <c r="A39" t="inlineStr">
        <is>
          <t>t4gpu</t>
        </is>
      </c>
      <c r="B39" t="inlineStr">
        <is>
          <t>baseline_fp16</t>
        </is>
      </c>
      <c r="C39" t="inlineStr">
        <is>
          <t>cuda</t>
        </is>
      </c>
      <c r="D39" t="n">
        <v>0</v>
      </c>
      <c r="E39" t="n">
        <v>1.534547000119346</v>
      </c>
      <c r="F39" t="n">
        <v>1.76129835001575</v>
      </c>
      <c r="G39" t="n">
        <v>1.571717823330043</v>
      </c>
      <c r="H39" t="n">
        <v>0.1096128282055493</v>
      </c>
      <c r="I39" t="n">
        <v>300</v>
      </c>
    </row>
    <row r="40">
      <c r="A40" t="inlineStr">
        <is>
          <t>t4gpu</t>
        </is>
      </c>
      <c r="B40" t="inlineStr">
        <is>
          <t>early_fusion</t>
        </is>
      </c>
      <c r="C40" t="inlineStr">
        <is>
          <t>cuda</t>
        </is>
      </c>
      <c r="D40" t="n">
        <v>0</v>
      </c>
      <c r="E40" t="n">
        <v>1.180277000116803</v>
      </c>
      <c r="F40" t="n">
        <v>1.529318500001864</v>
      </c>
      <c r="G40" t="n">
        <v>1.218986350004343</v>
      </c>
      <c r="H40" t="n">
        <v>0.1422045276002684</v>
      </c>
      <c r="I40" t="n">
        <v>300</v>
      </c>
    </row>
    <row r="41">
      <c r="A41" t="inlineStr">
        <is>
          <t>t4gpu</t>
        </is>
      </c>
      <c r="B41" t="inlineStr">
        <is>
          <t>early_fusion_2x</t>
        </is>
      </c>
      <c r="C41" t="inlineStr">
        <is>
          <t>cuda</t>
        </is>
      </c>
      <c r="D41" t="n">
        <v>0</v>
      </c>
      <c r="E41" t="n">
        <v>1.168583999969996</v>
      </c>
      <c r="F41" t="n">
        <v>1.695740749948983</v>
      </c>
      <c r="G41" t="n">
        <v>1.241200779992748</v>
      </c>
      <c r="H41" t="n">
        <v>0.2012579923644287</v>
      </c>
      <c r="I41" t="n">
        <v>300</v>
      </c>
    </row>
    <row r="42">
      <c r="A42" t="inlineStr">
        <is>
          <t>t4gpu</t>
        </is>
      </c>
      <c r="B42" t="inlineStr">
        <is>
          <t>linear_attn</t>
        </is>
      </c>
      <c r="C42" t="inlineStr">
        <is>
          <t>cuda</t>
        </is>
      </c>
      <c r="D42" t="n">
        <v>0</v>
      </c>
      <c r="E42" t="n">
        <v>2.668060499900093</v>
      </c>
      <c r="F42" t="n">
        <v>3.39109559993176</v>
      </c>
      <c r="G42" t="n">
        <v>2.760056880000926</v>
      </c>
      <c r="H42" t="n">
        <v>0.3396365981080261</v>
      </c>
      <c r="I42" t="n">
        <v>300</v>
      </c>
    </row>
    <row r="43">
      <c r="A43" t="inlineStr">
        <is>
          <t>t4gpu</t>
        </is>
      </c>
      <c r="B43" t="inlineStr">
        <is>
          <t>baseline_fp32</t>
        </is>
      </c>
      <c r="C43" t="inlineStr">
        <is>
          <t>cuda</t>
        </is>
      </c>
      <c r="D43" t="n">
        <v>0</v>
      </c>
      <c r="E43" t="n">
        <v>1.560408500040467</v>
      </c>
      <c r="F43" t="n">
        <v>1.878316050010654</v>
      </c>
      <c r="G43" t="n">
        <v>1.60470053666586</v>
      </c>
      <c r="H43" t="n">
        <v>0.17635201400297</v>
      </c>
      <c r="I43" t="n">
        <v>300</v>
      </c>
    </row>
    <row r="44">
      <c r="A44" t="inlineStr">
        <is>
          <t>t4gpu</t>
        </is>
      </c>
      <c r="B44" t="inlineStr">
        <is>
          <t>cpu_baseline_int8</t>
        </is>
      </c>
      <c r="C44" t="inlineStr">
        <is>
          <t>cpu</t>
        </is>
      </c>
      <c r="D44" t="n">
        <v>0</v>
      </c>
      <c r="E44" t="n">
        <v>2.158507499984808</v>
      </c>
      <c r="F44" t="n">
        <v>2.542608299916083</v>
      </c>
      <c r="G44" t="n">
        <v>2.262441819998457</v>
      </c>
      <c r="H44" t="n">
        <v>0.5735702614926508</v>
      </c>
      <c r="I44" t="n">
        <v>300</v>
      </c>
    </row>
    <row r="45">
      <c r="A45" t="inlineStr">
        <is>
          <t>t4gpu</t>
        </is>
      </c>
      <c r="B45" t="inlineStr">
        <is>
          <t>student_nokd</t>
        </is>
      </c>
      <c r="C45" t="inlineStr">
        <is>
          <t>cuda</t>
        </is>
      </c>
      <c r="D45" t="n">
        <v>0</v>
      </c>
      <c r="E45" t="n">
        <v>1.164403499956279</v>
      </c>
      <c r="F45" t="n">
        <v>1.299103699932402</v>
      </c>
      <c r="G45" t="n">
        <v>1.176085939999514</v>
      </c>
      <c r="H45" t="n">
        <v>0.1063794077109101</v>
      </c>
      <c r="I45" t="n">
        <v>300</v>
      </c>
    </row>
    <row r="46">
      <c r="A46" t="inlineStr">
        <is>
          <t>t4gpu</t>
        </is>
      </c>
      <c r="B46" t="inlineStr">
        <is>
          <t>linear_attn</t>
        </is>
      </c>
      <c r="C46" t="inlineStr">
        <is>
          <t>cuda</t>
        </is>
      </c>
      <c r="D46" t="n">
        <v>1</v>
      </c>
      <c r="E46" t="n">
        <v>2.633702000139237</v>
      </c>
      <c r="F46" t="n">
        <v>3.115899400029321</v>
      </c>
      <c r="G46" t="n">
        <v>2.671164576667404</v>
      </c>
      <c r="H46" t="n">
        <v>0.2730803356191356</v>
      </c>
      <c r="I46" t="n">
        <v>300</v>
      </c>
    </row>
    <row r="47">
      <c r="A47" t="inlineStr">
        <is>
          <t>t4gpu</t>
        </is>
      </c>
      <c r="B47" t="inlineStr">
        <is>
          <t>baseline_fp32</t>
        </is>
      </c>
      <c r="C47" t="inlineStr">
        <is>
          <t>cuda</t>
        </is>
      </c>
      <c r="D47" t="n">
        <v>1</v>
      </c>
      <c r="E47" t="n">
        <v>1.50731849987551</v>
      </c>
      <c r="F47" t="n">
        <v>1.977252399956344</v>
      </c>
      <c r="G47" t="n">
        <v>1.558759256668054</v>
      </c>
      <c r="H47" t="n">
        <v>0.2251977247695167</v>
      </c>
      <c r="I47" t="n">
        <v>300</v>
      </c>
    </row>
    <row r="48">
      <c r="A48" t="inlineStr">
        <is>
          <t>t4gpu</t>
        </is>
      </c>
      <c r="B48" t="inlineStr">
        <is>
          <t>early_fusion</t>
        </is>
      </c>
      <c r="C48" t="inlineStr">
        <is>
          <t>cuda</t>
        </is>
      </c>
      <c r="D48" t="n">
        <v>1</v>
      </c>
      <c r="E48" t="n">
        <v>1.203610000061417</v>
      </c>
      <c r="F48" t="n">
        <v>1.996345150155321</v>
      </c>
      <c r="G48" t="n">
        <v>1.296255429996715</v>
      </c>
      <c r="H48" t="n">
        <v>0.2960699986380846</v>
      </c>
      <c r="I48" t="n">
        <v>300</v>
      </c>
    </row>
    <row r="49">
      <c r="A49" t="inlineStr">
        <is>
          <t>t4gpu</t>
        </is>
      </c>
      <c r="B49" t="inlineStr">
        <is>
          <t>cpu_baseline_int8</t>
        </is>
      </c>
      <c r="C49" t="inlineStr">
        <is>
          <t>cpu</t>
        </is>
      </c>
      <c r="D49" t="n">
        <v>1</v>
      </c>
      <c r="E49" t="n">
        <v>4.463238500079569</v>
      </c>
      <c r="F49" t="n">
        <v>13.76187190014662</v>
      </c>
      <c r="G49" t="n">
        <v>7.937830530008796</v>
      </c>
      <c r="H49" t="n">
        <v>16.98800946192435</v>
      </c>
      <c r="I49" t="n">
        <v>300</v>
      </c>
    </row>
    <row r="50">
      <c r="A50" t="inlineStr">
        <is>
          <t>t4gpu</t>
        </is>
      </c>
      <c r="B50" t="inlineStr">
        <is>
          <t>student_nokd</t>
        </is>
      </c>
      <c r="C50" t="inlineStr">
        <is>
          <t>cuda</t>
        </is>
      </c>
      <c r="D50" t="n">
        <v>1</v>
      </c>
      <c r="E50" t="n">
        <v>1.087420999965616</v>
      </c>
      <c r="F50" t="n">
        <v>1.277315600009388</v>
      </c>
      <c r="G50" t="n">
        <v>1.117704739999681</v>
      </c>
      <c r="H50" t="n">
        <v>0.0810843499801195</v>
      </c>
      <c r="I50" t="n">
        <v>300</v>
      </c>
    </row>
    <row r="51">
      <c r="A51" t="inlineStr">
        <is>
          <t>t4gpu</t>
        </is>
      </c>
      <c r="B51" t="inlineStr">
        <is>
          <t>baseline_fp16</t>
        </is>
      </c>
      <c r="C51" t="inlineStr">
        <is>
          <t>cuda</t>
        </is>
      </c>
      <c r="D51" t="n">
        <v>1</v>
      </c>
      <c r="E51" t="n">
        <v>1.650184499908391</v>
      </c>
      <c r="F51" t="n">
        <v>2.421268900127416</v>
      </c>
      <c r="G51" t="n">
        <v>1.722757676670123</v>
      </c>
      <c r="H51" t="n">
        <v>0.2609472524365014</v>
      </c>
      <c r="I51" t="n">
        <v>300</v>
      </c>
    </row>
    <row r="52">
      <c r="A52" t="inlineStr">
        <is>
          <t>t4gpu</t>
        </is>
      </c>
      <c r="B52" t="inlineStr">
        <is>
          <t>early_fusion_2x</t>
        </is>
      </c>
      <c r="C52" t="inlineStr">
        <is>
          <t>cuda</t>
        </is>
      </c>
      <c r="D52" t="n">
        <v>1</v>
      </c>
      <c r="E52" t="n">
        <v>1.214341000036256</v>
      </c>
      <c r="F52" t="n">
        <v>1.394826050113807</v>
      </c>
      <c r="G52" t="n">
        <v>1.236991953339839</v>
      </c>
      <c r="H52" t="n">
        <v>0.1027369079627979</v>
      </c>
      <c r="I52" t="n">
        <v>300</v>
      </c>
    </row>
    <row r="53">
      <c r="A53" t="inlineStr">
        <is>
          <t>t4gpu</t>
        </is>
      </c>
      <c r="B53" t="inlineStr">
        <is>
          <t>student_kd</t>
        </is>
      </c>
      <c r="C53" t="inlineStr">
        <is>
          <t>cuda</t>
        </is>
      </c>
      <c r="D53" t="n">
        <v>1</v>
      </c>
      <c r="E53" t="n">
        <v>1.163632499924461</v>
      </c>
      <c r="F53" t="n">
        <v>1.791790600100285</v>
      </c>
      <c r="G53" t="n">
        <v>1.217338996663481</v>
      </c>
      <c r="H53" t="n">
        <v>0.1987905779326592</v>
      </c>
      <c r="I53" t="n">
        <v>300</v>
      </c>
    </row>
    <row r="54">
      <c r="A54" t="inlineStr">
        <is>
          <t>t4gpu</t>
        </is>
      </c>
      <c r="B54" t="inlineStr">
        <is>
          <t>cpu_baseline_fp32</t>
        </is>
      </c>
      <c r="C54" t="inlineStr">
        <is>
          <t>cpu</t>
        </is>
      </c>
      <c r="D54" t="n">
        <v>1</v>
      </c>
      <c r="E54" t="n">
        <v>1.681148499983465</v>
      </c>
      <c r="F54" t="n">
        <v>1.94976875014845</v>
      </c>
      <c r="G54" t="n">
        <v>1.703658660001868</v>
      </c>
      <c r="H54" t="n">
        <v>0.166358057125721</v>
      </c>
      <c r="I54" t="n">
        <v>300</v>
      </c>
    </row>
    <row r="55">
      <c r="A55" t="inlineStr">
        <is>
          <t>t4gpu</t>
        </is>
      </c>
      <c r="B55" t="inlineStr">
        <is>
          <t>linear_attn</t>
        </is>
      </c>
      <c r="C55" t="inlineStr">
        <is>
          <t>cuda</t>
        </is>
      </c>
      <c r="D55" t="n">
        <v>2</v>
      </c>
      <c r="E55" t="n">
        <v>2.597155999978895</v>
      </c>
      <c r="F55" t="n">
        <v>3.409377450134345</v>
      </c>
      <c r="G55" t="n">
        <v>2.686109560006571</v>
      </c>
      <c r="H55" t="n">
        <v>0.3602118957422078</v>
      </c>
      <c r="I55" t="n">
        <v>300</v>
      </c>
    </row>
    <row r="56">
      <c r="A56" t="inlineStr">
        <is>
          <t>t4gpu</t>
        </is>
      </c>
      <c r="B56" t="inlineStr">
        <is>
          <t>baseline_fp32</t>
        </is>
      </c>
      <c r="C56" t="inlineStr">
        <is>
          <t>cuda</t>
        </is>
      </c>
      <c r="D56" t="n">
        <v>2</v>
      </c>
      <c r="E56" t="n">
        <v>1.516178499969101</v>
      </c>
      <c r="F56" t="n">
        <v>2.31350145010083</v>
      </c>
      <c r="G56" t="n">
        <v>1.595011769999625</v>
      </c>
      <c r="H56" t="n">
        <v>0.319942361501585</v>
      </c>
      <c r="I56" t="n">
        <v>300</v>
      </c>
    </row>
    <row r="57">
      <c r="A57" t="inlineStr">
        <is>
          <t>t4gpu</t>
        </is>
      </c>
      <c r="B57" t="inlineStr">
        <is>
          <t>early_fusion</t>
        </is>
      </c>
      <c r="C57" t="inlineStr">
        <is>
          <t>cuda</t>
        </is>
      </c>
      <c r="D57" t="n">
        <v>2</v>
      </c>
      <c r="E57" t="n">
        <v>1.215032999994037</v>
      </c>
      <c r="F57" t="n">
        <v>1.431135500001801</v>
      </c>
      <c r="G57" t="n">
        <v>1.232954860001882</v>
      </c>
      <c r="H57" t="n">
        <v>0.1061238530034182</v>
      </c>
      <c r="I57" t="n">
        <v>300</v>
      </c>
    </row>
    <row r="58">
      <c r="A58" t="inlineStr">
        <is>
          <t>t4gpu</t>
        </is>
      </c>
      <c r="B58" t="inlineStr">
        <is>
          <t>cpu_baseline_int8</t>
        </is>
      </c>
      <c r="C58" t="inlineStr">
        <is>
          <t>cpu</t>
        </is>
      </c>
      <c r="D58" t="n">
        <v>2</v>
      </c>
      <c r="E58" t="n">
        <v>2.241324999999961</v>
      </c>
      <c r="F58" t="n">
        <v>2.812533949997942</v>
      </c>
      <c r="G58" t="n">
        <v>2.367362453330012</v>
      </c>
      <c r="H58" t="n">
        <v>0.7458944318190532</v>
      </c>
      <c r="I58" t="n">
        <v>300</v>
      </c>
    </row>
    <row r="59">
      <c r="A59" t="inlineStr">
        <is>
          <t>t4gpu</t>
        </is>
      </c>
      <c r="B59" t="inlineStr">
        <is>
          <t>student_nokd</t>
        </is>
      </c>
      <c r="C59" t="inlineStr">
        <is>
          <t>cuda</t>
        </is>
      </c>
      <c r="D59" t="n">
        <v>2</v>
      </c>
      <c r="E59" t="n">
        <v>1.175529999954961</v>
      </c>
      <c r="F59" t="n">
        <v>1.36960315013539</v>
      </c>
      <c r="G59" t="n">
        <v>1.202908483336766</v>
      </c>
      <c r="H59" t="n">
        <v>0.1145181578689272</v>
      </c>
      <c r="I59" t="n">
        <v>300</v>
      </c>
    </row>
    <row r="60">
      <c r="A60" t="inlineStr">
        <is>
          <t>t4gpu</t>
        </is>
      </c>
      <c r="B60" t="inlineStr">
        <is>
          <t>student_kd</t>
        </is>
      </c>
      <c r="C60" t="inlineStr">
        <is>
          <t>cuda</t>
        </is>
      </c>
      <c r="D60" t="n">
        <v>2</v>
      </c>
      <c r="E60" t="n">
        <v>1.176713499944526</v>
      </c>
      <c r="F60" t="n">
        <v>1.864269250029338</v>
      </c>
      <c r="G60" t="n">
        <v>1.267625580000337</v>
      </c>
      <c r="H60" t="n">
        <v>0.246883842799664</v>
      </c>
      <c r="I60" t="n">
        <v>300</v>
      </c>
    </row>
    <row r="61">
      <c r="A61" t="inlineStr">
        <is>
          <t>t4gpu</t>
        </is>
      </c>
      <c r="B61" t="inlineStr">
        <is>
          <t>cpu_baseline_fp32</t>
        </is>
      </c>
      <c r="C61" t="inlineStr">
        <is>
          <t>cpu</t>
        </is>
      </c>
      <c r="D61" t="n">
        <v>2</v>
      </c>
      <c r="E61" t="n">
        <v>1.668630999915877</v>
      </c>
      <c r="F61" t="n">
        <v>1.971609100019123</v>
      </c>
      <c r="G61" t="n">
        <v>1.700621120002476</v>
      </c>
      <c r="H61" t="n">
        <v>0.1534869785702583</v>
      </c>
      <c r="I61" t="n">
        <v>300</v>
      </c>
    </row>
    <row r="62">
      <c r="A62" t="inlineStr">
        <is>
          <t>t4gpu</t>
        </is>
      </c>
      <c r="B62" t="inlineStr">
        <is>
          <t>early_fusion_2x</t>
        </is>
      </c>
      <c r="C62" t="inlineStr">
        <is>
          <t>cuda</t>
        </is>
      </c>
      <c r="D62" t="n">
        <v>2</v>
      </c>
      <c r="E62" t="n">
        <v>1.235564500007058</v>
      </c>
      <c r="F62" t="n">
        <v>1.900117250045241</v>
      </c>
      <c r="G62" t="n">
        <v>1.298906449997806</v>
      </c>
      <c r="H62" t="n">
        <v>0.206731868589817</v>
      </c>
      <c r="I62" t="n">
        <v>300</v>
      </c>
    </row>
    <row r="63">
      <c r="A63" t="inlineStr">
        <is>
          <t>t4gpu</t>
        </is>
      </c>
      <c r="B63" t="inlineStr">
        <is>
          <t>baseline_fp16</t>
        </is>
      </c>
      <c r="C63" t="inlineStr">
        <is>
          <t>cuda</t>
        </is>
      </c>
      <c r="D63" t="n">
        <v>2</v>
      </c>
      <c r="E63" t="n">
        <v>1.65401850017588</v>
      </c>
      <c r="F63" t="n">
        <v>1.881457599870373</v>
      </c>
      <c r="G63" t="n">
        <v>1.669664219994047</v>
      </c>
      <c r="H63" t="n">
        <v>0.1016004993883821</v>
      </c>
      <c r="I63" t="n">
        <v>300</v>
      </c>
    </row>
    <row r="64">
      <c r="A64" t="inlineStr">
        <is>
          <t>t4gpu</t>
        </is>
      </c>
      <c r="B64" t="inlineStr">
        <is>
          <t>cpu_baseline_fp32</t>
        </is>
      </c>
      <c r="C64" t="inlineStr">
        <is>
          <t>cpu</t>
        </is>
      </c>
      <c r="D64" t="n">
        <v>3</v>
      </c>
      <c r="E64" t="n">
        <v>1.733302999923581</v>
      </c>
      <c r="F64" t="n">
        <v>2.31281664995322</v>
      </c>
      <c r="G64" t="n">
        <v>1.857239853334249</v>
      </c>
      <c r="H64" t="n">
        <v>0.5877003674176515</v>
      </c>
      <c r="I64" t="n">
        <v>300</v>
      </c>
    </row>
    <row r="65">
      <c r="A65" t="inlineStr">
        <is>
          <t>t4gpu</t>
        </is>
      </c>
      <c r="B65" t="inlineStr">
        <is>
          <t>student_nokd</t>
        </is>
      </c>
      <c r="C65" t="inlineStr">
        <is>
          <t>cuda</t>
        </is>
      </c>
      <c r="D65" t="n">
        <v>3</v>
      </c>
      <c r="E65" t="n">
        <v>1.151327499997024</v>
      </c>
      <c r="F65" t="n">
        <v>1.327098700016904</v>
      </c>
      <c r="G65" t="n">
        <v>1.1670959499952</v>
      </c>
      <c r="H65" t="n">
        <v>0.0927031449064166</v>
      </c>
      <c r="I65" t="n">
        <v>300</v>
      </c>
    </row>
    <row r="66">
      <c r="A66" t="inlineStr">
        <is>
          <t>t4gpu</t>
        </is>
      </c>
      <c r="B66" t="inlineStr">
        <is>
          <t>cpu_baseline_int8</t>
        </is>
      </c>
      <c r="C66" t="inlineStr">
        <is>
          <t>cpu</t>
        </is>
      </c>
      <c r="D66" t="n">
        <v>3</v>
      </c>
      <c r="E66" t="n">
        <v>2.197499499970945</v>
      </c>
      <c r="F66" t="n">
        <v>2.551064449994557</v>
      </c>
      <c r="G66" t="n">
        <v>2.288223746665305</v>
      </c>
      <c r="H66" t="n">
        <v>0.6029234590241304</v>
      </c>
      <c r="I66" t="n">
        <v>300</v>
      </c>
    </row>
    <row r="67">
      <c r="A67" t="inlineStr">
        <is>
          <t>t4gpu</t>
        </is>
      </c>
      <c r="B67" t="inlineStr">
        <is>
          <t>linear_attn</t>
        </is>
      </c>
      <c r="C67" t="inlineStr">
        <is>
          <t>cuda</t>
        </is>
      </c>
      <c r="D67" t="n">
        <v>3</v>
      </c>
      <c r="E67" t="n">
        <v>3.460898500065923</v>
      </c>
      <c r="F67" t="n">
        <v>5.03900405000195</v>
      </c>
      <c r="G67" t="n">
        <v>3.602061383339787</v>
      </c>
      <c r="H67" t="n">
        <v>0.7231082953029945</v>
      </c>
      <c r="I67" t="n">
        <v>300</v>
      </c>
    </row>
    <row r="68">
      <c r="A68" t="inlineStr">
        <is>
          <t>t4gpu</t>
        </is>
      </c>
      <c r="B68" t="inlineStr">
        <is>
          <t>baseline_fp32</t>
        </is>
      </c>
      <c r="C68" t="inlineStr">
        <is>
          <t>cuda</t>
        </is>
      </c>
      <c r="D68" t="n">
        <v>3</v>
      </c>
      <c r="E68" t="n">
        <v>1.994294500036631</v>
      </c>
      <c r="F68" t="n">
        <v>2.968314449913124</v>
      </c>
      <c r="G68" t="n">
        <v>2.146614879990617</v>
      </c>
      <c r="H68" t="n">
        <v>0.4256569378137076</v>
      </c>
      <c r="I68" t="n">
        <v>300</v>
      </c>
    </row>
    <row r="69">
      <c r="A69" t="inlineStr">
        <is>
          <t>t4gpu</t>
        </is>
      </c>
      <c r="B69" t="inlineStr">
        <is>
          <t>early_fusion_2x</t>
        </is>
      </c>
      <c r="C69" t="inlineStr">
        <is>
          <t>cuda</t>
        </is>
      </c>
      <c r="D69" t="n">
        <v>3</v>
      </c>
      <c r="E69" t="n">
        <v>1.75299400007134</v>
      </c>
      <c r="F69" t="n">
        <v>2.94512894994341</v>
      </c>
      <c r="G69" t="n">
        <v>1.907252760002697</v>
      </c>
      <c r="H69" t="n">
        <v>0.4886451753525205</v>
      </c>
      <c r="I69" t="n">
        <v>300</v>
      </c>
    </row>
    <row r="70">
      <c r="A70" t="inlineStr">
        <is>
          <t>t4gpu</t>
        </is>
      </c>
      <c r="B70" t="inlineStr">
        <is>
          <t>early_fusion</t>
        </is>
      </c>
      <c r="C70" t="inlineStr">
        <is>
          <t>cuda</t>
        </is>
      </c>
      <c r="D70" t="n">
        <v>3</v>
      </c>
      <c r="E70" t="n">
        <v>1.180649500042818</v>
      </c>
      <c r="F70" t="n">
        <v>1.909582050018344</v>
      </c>
      <c r="G70" t="n">
        <v>1.258716943334548</v>
      </c>
      <c r="H70" t="n">
        <v>0.2452578911835516</v>
      </c>
      <c r="I70" t="n">
        <v>300</v>
      </c>
    </row>
    <row r="71">
      <c r="A71" t="inlineStr">
        <is>
          <t>t4gpu</t>
        </is>
      </c>
      <c r="B71" t="inlineStr">
        <is>
          <t>student_kd</t>
        </is>
      </c>
      <c r="C71" t="inlineStr">
        <is>
          <t>cuda</t>
        </is>
      </c>
      <c r="D71" t="n">
        <v>3</v>
      </c>
      <c r="E71" t="n">
        <v>1.155330500068885</v>
      </c>
      <c r="F71" t="n">
        <v>1.36836549996815</v>
      </c>
      <c r="G71" t="n">
        <v>1.178440366667625</v>
      </c>
      <c r="H71" t="n">
        <v>0.117263759483408</v>
      </c>
      <c r="I71" t="n">
        <v>300</v>
      </c>
    </row>
    <row r="72">
      <c r="A72" t="inlineStr">
        <is>
          <t>t4gpu</t>
        </is>
      </c>
      <c r="B72" t="inlineStr">
        <is>
          <t>baseline_fp16</t>
        </is>
      </c>
      <c r="C72" t="inlineStr">
        <is>
          <t>cuda</t>
        </is>
      </c>
      <c r="D72" t="n">
        <v>3</v>
      </c>
      <c r="E72" t="n">
        <v>1.68290400006299</v>
      </c>
      <c r="F72" t="n">
        <v>2.003191350024737</v>
      </c>
      <c r="G72" t="n">
        <v>1.738235216671455</v>
      </c>
      <c r="H72" t="n">
        <v>0.2440795530129506</v>
      </c>
      <c r="I72" t="n">
        <v>300</v>
      </c>
    </row>
    <row r="73">
      <c r="A73" t="inlineStr">
        <is>
          <t>t4gpu</t>
        </is>
      </c>
      <c r="B73" t="inlineStr">
        <is>
          <t>baseline_fp16</t>
        </is>
      </c>
      <c r="C73" t="inlineStr">
        <is>
          <t>cuda</t>
        </is>
      </c>
      <c r="D73" t="n">
        <v>4</v>
      </c>
      <c r="E73" t="n">
        <v>1.673974000027556</v>
      </c>
      <c r="F73" t="n">
        <v>2.541143199994167</v>
      </c>
      <c r="G73" t="n">
        <v>1.756235346677689</v>
      </c>
      <c r="H73" t="n">
        <v>0.2686199989369976</v>
      </c>
      <c r="I73" t="n">
        <v>300</v>
      </c>
    </row>
    <row r="74">
      <c r="A74" t="inlineStr">
        <is>
          <t>t4gpu</t>
        </is>
      </c>
      <c r="B74" t="inlineStr">
        <is>
          <t>student_nokd</t>
        </is>
      </c>
      <c r="C74" t="inlineStr">
        <is>
          <t>cuda</t>
        </is>
      </c>
      <c r="D74" t="n">
        <v>4</v>
      </c>
      <c r="E74" t="n">
        <v>1.137702499931947</v>
      </c>
      <c r="F74" t="n">
        <v>1.329277549871222</v>
      </c>
      <c r="G74" t="n">
        <v>1.151863480002551</v>
      </c>
      <c r="H74" t="n">
        <v>0.0969718027250825</v>
      </c>
      <c r="I74" t="n">
        <v>300</v>
      </c>
    </row>
    <row r="75">
      <c r="A75" t="inlineStr">
        <is>
          <t>t4gpu</t>
        </is>
      </c>
      <c r="B75" t="inlineStr">
        <is>
          <t>student_kd</t>
        </is>
      </c>
      <c r="C75" t="inlineStr">
        <is>
          <t>cuda</t>
        </is>
      </c>
      <c r="D75" t="n">
        <v>4</v>
      </c>
      <c r="E75" t="n">
        <v>1.145958000051905</v>
      </c>
      <c r="F75" t="n">
        <v>1.45266004997211</v>
      </c>
      <c r="G75" t="n">
        <v>1.169393706669174</v>
      </c>
      <c r="H75" t="n">
        <v>0.1269890707248863</v>
      </c>
      <c r="I75" t="n">
        <v>300</v>
      </c>
    </row>
    <row r="76">
      <c r="A76" t="inlineStr">
        <is>
          <t>t4gpu</t>
        </is>
      </c>
      <c r="B76" t="inlineStr">
        <is>
          <t>baseline_fp32</t>
        </is>
      </c>
      <c r="C76" t="inlineStr">
        <is>
          <t>cuda</t>
        </is>
      </c>
      <c r="D76" t="n">
        <v>4</v>
      </c>
      <c r="E76" t="n">
        <v>1.501207999922372</v>
      </c>
      <c r="F76" t="n">
        <v>1.930336199984595</v>
      </c>
      <c r="G76" t="n">
        <v>1.557402026664931</v>
      </c>
      <c r="H76" t="n">
        <v>0.2255041373563886</v>
      </c>
      <c r="I76" t="n">
        <v>300</v>
      </c>
    </row>
    <row r="77">
      <c r="A77" t="inlineStr">
        <is>
          <t>t4gpu</t>
        </is>
      </c>
      <c r="B77" t="inlineStr">
        <is>
          <t>linear_attn</t>
        </is>
      </c>
      <c r="C77" t="inlineStr">
        <is>
          <t>cuda</t>
        </is>
      </c>
      <c r="D77" t="n">
        <v>4</v>
      </c>
      <c r="E77" t="n">
        <v>2.635632499959684</v>
      </c>
      <c r="F77" t="n">
        <v>3.3771640000964</v>
      </c>
      <c r="G77" t="n">
        <v>2.72471246666934</v>
      </c>
      <c r="H77" t="n">
        <v>0.3300400449921181</v>
      </c>
      <c r="I77" t="n">
        <v>300</v>
      </c>
    </row>
    <row r="78">
      <c r="A78" t="inlineStr">
        <is>
          <t>t4gpu</t>
        </is>
      </c>
      <c r="B78" t="inlineStr">
        <is>
          <t>early_fusion_2x</t>
        </is>
      </c>
      <c r="C78" t="inlineStr">
        <is>
          <t>cuda</t>
        </is>
      </c>
      <c r="D78" t="n">
        <v>4</v>
      </c>
      <c r="E78" t="n">
        <v>1.222547999873314</v>
      </c>
      <c r="F78" t="n">
        <v>1.452714300114621</v>
      </c>
      <c r="G78" t="n">
        <v>1.253842903333862</v>
      </c>
      <c r="H78" t="n">
        <v>0.1344359530893431</v>
      </c>
      <c r="I78" t="n">
        <v>300</v>
      </c>
    </row>
    <row r="79">
      <c r="A79" t="inlineStr">
        <is>
          <t>t4gpu</t>
        </is>
      </c>
      <c r="B79" t="inlineStr">
        <is>
          <t>cpu_baseline_int8</t>
        </is>
      </c>
      <c r="C79" t="inlineStr">
        <is>
          <t>cpu</t>
        </is>
      </c>
      <c r="D79" t="n">
        <v>4</v>
      </c>
      <c r="E79" t="n">
        <v>2.199655000026723</v>
      </c>
      <c r="F79" t="n">
        <v>2.509672750045411</v>
      </c>
      <c r="G79" t="n">
        <v>2.293766746656729</v>
      </c>
      <c r="H79" t="n">
        <v>0.6669677884697121</v>
      </c>
      <c r="I79" t="n">
        <v>300</v>
      </c>
    </row>
    <row r="80">
      <c r="A80" t="inlineStr">
        <is>
          <t>t4gpu</t>
        </is>
      </c>
      <c r="B80" t="inlineStr">
        <is>
          <t>cpu_baseline_fp32</t>
        </is>
      </c>
      <c r="C80" t="inlineStr">
        <is>
          <t>cpu</t>
        </is>
      </c>
      <c r="D80" t="n">
        <v>4</v>
      </c>
      <c r="E80" t="n">
        <v>1.683359499907056</v>
      </c>
      <c r="F80" t="n">
        <v>1.999094399980095</v>
      </c>
      <c r="G80" t="n">
        <v>1.779198429994722</v>
      </c>
      <c r="H80" t="n">
        <v>0.5666829893281655</v>
      </c>
      <c r="I80" t="n">
        <v>300</v>
      </c>
    </row>
    <row r="81">
      <c r="A81" t="inlineStr">
        <is>
          <t>t4gpu</t>
        </is>
      </c>
      <c r="B81" t="inlineStr">
        <is>
          <t>early_fusion</t>
        </is>
      </c>
      <c r="C81" t="inlineStr">
        <is>
          <t>cuda</t>
        </is>
      </c>
      <c r="D81" t="n">
        <v>4</v>
      </c>
      <c r="E81" t="n">
        <v>1.206418000037956</v>
      </c>
      <c r="F81" t="n">
        <v>1.469109300046512</v>
      </c>
      <c r="G81" t="n">
        <v>1.232111806665822</v>
      </c>
      <c r="H81" t="n">
        <v>0.133990490052849</v>
      </c>
      <c r="I8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24" customWidth="1" min="3" max="3"/>
    <col width="34" customWidth="1" min="4" max="4"/>
    <col width="34" customWidth="1" min="5" max="5"/>
    <col width="34" customWidth="1" min="6" max="6"/>
    <col width="26" customWidth="1" min="7" max="7"/>
    <col width="29" customWidth="1" min="8" max="8"/>
    <col width="34" customWidth="1" min="9" max="9"/>
    <col width="24" customWidth="1" min="10" max="10"/>
    <col width="23" customWidth="1" min="11" max="11"/>
    <col width="12" customWidth="1" min="12" max="12"/>
    <col width="22" customWidth="1" min="13" max="13"/>
    <col width="17" customWidth="1" min="14" max="14"/>
    <col width="33" customWidth="1" min="15" max="15"/>
    <col width="25" customWidth="1" min="16" max="16"/>
    <col width="23" customWidth="1" min="17" max="17"/>
    <col width="28" customWidth="1" min="18" max="18"/>
    <col width="34" customWidth="1" min="19" max="19"/>
  </cols>
  <sheetData>
    <row r="1">
      <c r="A1" s="7" t="inlineStr">
        <is>
          <t>Scaling-law compute estimate (6ND and Chinchilla-style token budget)</t>
        </is>
      </c>
    </row>
    <row r="3">
      <c r="A3" t="inlineStr">
        <is>
          <t>GPU peak FP16 TFLOPs (Colab T4, vendor spec)</t>
        </is>
      </c>
      <c r="B3" s="8" t="n">
        <v>65</v>
      </c>
    </row>
    <row r="4">
      <c r="A4" t="inlineStr">
        <is>
          <t>Assumed model-FLOPs utilisation (MFU)</t>
        </is>
      </c>
      <c r="B4" s="8" t="n">
        <v>0.3</v>
      </c>
    </row>
    <row r="5">
      <c r="A5" t="inlineStr">
        <is>
          <t>Scale-up factor for params</t>
        </is>
      </c>
      <c r="B5" s="8" t="n">
        <v>10</v>
      </c>
    </row>
    <row r="6">
      <c r="A6" t="inlineStr">
        <is>
          <t>Chinchilla tokens per param (D* = k*N)</t>
        </is>
      </c>
      <c r="B6" s="8" t="n">
        <v>20</v>
      </c>
    </row>
    <row r="7">
      <c r="A7" t="inlineStr">
        <is>
          <t>Colab free-tier session cap (hours, approximate)</t>
        </is>
      </c>
      <c r="B7" s="8" t="n">
        <v>12</v>
      </c>
    </row>
    <row r="10">
      <c r="A10" s="2" t="inlineStr">
        <is>
          <t>model</t>
        </is>
      </c>
      <c r="B10" s="2" t="inlineStr">
        <is>
          <t>params N</t>
        </is>
      </c>
      <c r="C10" s="2" t="inlineStr">
        <is>
          <t>unique train samples</t>
        </is>
      </c>
      <c r="D10" s="2" t="inlineStr">
        <is>
          <t>tokens/sample (24 text + 64 patches)</t>
        </is>
      </c>
      <c r="E10" s="2" t="inlineStr">
        <is>
          <t>train samples seen (epochs x N)</t>
        </is>
      </c>
      <c r="F10" s="2" t="inlineStr">
        <is>
          <t>actual tokens D = samples seen x tokens/sample</t>
        </is>
      </c>
      <c r="G10" s="2" t="inlineStr">
        <is>
          <t>actual train FLOPs 6ND</t>
        </is>
      </c>
      <c r="H10" s="2" t="inlineStr">
        <is>
          <t>measured fwd FLOPs/sample</t>
        </is>
      </c>
      <c r="I10" s="2" t="inlineStr">
        <is>
          <t>cross-check: 3 x fwd x samples seen</t>
        </is>
      </c>
      <c r="J10" s="2" t="inlineStr">
        <is>
          <t>6ND / measured ratio</t>
        </is>
      </c>
      <c r="K10" s="2" t="inlineStr">
        <is>
          <t>Chinchilla D* = k*N</t>
        </is>
      </c>
      <c r="L10" s="2" t="inlineStr">
        <is>
          <t>D / D*</t>
        </is>
      </c>
      <c r="M10" s="2" t="inlineStr">
        <is>
          <t>unique tokens / D*</t>
        </is>
      </c>
      <c r="N10" s="2" t="inlineStr">
        <is>
          <t>10x params N'</t>
        </is>
      </c>
      <c r="O10" s="2" t="inlineStr">
        <is>
          <t>10x Chinchilla tokens D'=k*N'</t>
        </is>
      </c>
      <c r="P10" s="2" t="inlineStr">
        <is>
          <t>10x train FLOPs 6N'D'</t>
        </is>
      </c>
      <c r="Q10" s="2" t="inlineStr">
        <is>
          <t>10x GPU-hours on T4</t>
        </is>
      </c>
      <c r="R10" s="2" t="inlineStr">
        <is>
          <t>10x fits in session cap?</t>
        </is>
      </c>
      <c r="S10" s="2" t="inlineStr">
        <is>
          <t>years on one T4 (reference rows)</t>
        </is>
      </c>
    </row>
    <row r="11">
      <c r="A11" t="inlineStr">
        <is>
          <t>baseline (late fusion)</t>
        </is>
      </c>
      <c r="B11" s="9" t="n">
        <v>138022</v>
      </c>
      <c r="C11" t="n">
        <v>8000</v>
      </c>
      <c r="D11" t="n">
        <v>88</v>
      </c>
      <c r="E11" t="n">
        <v>120000</v>
      </c>
      <c r="F11" s="9">
        <f>E11*D11</f>
        <v/>
      </c>
      <c r="G11" s="9">
        <f>6*B11*F11</f>
        <v/>
      </c>
      <c r="H11" s="9" t="n">
        <v>9749248</v>
      </c>
      <c r="I11" s="9">
        <f>3*H11*E11</f>
        <v/>
      </c>
      <c r="J11">
        <f>G11/I11</f>
        <v/>
      </c>
      <c r="K11" s="9">
        <f>$B$6*B11</f>
        <v/>
      </c>
      <c r="L11">
        <f>F11/K11</f>
        <v/>
      </c>
      <c r="M11">
        <f>C11*D11/K11</f>
        <v/>
      </c>
      <c r="N11" s="9">
        <f>$B$5*B11</f>
        <v/>
      </c>
      <c r="O11" s="9">
        <f>$B$6*N11</f>
        <v/>
      </c>
      <c r="P11" s="9">
        <f>6*N11*O11</f>
        <v/>
      </c>
      <c r="Q11" s="9">
        <f>P11/($B$3*10^12*$B$4)/3600</f>
        <v/>
      </c>
      <c r="R11">
        <f>IF(Q11&lt;=$B$7,"yes","NO")</f>
        <v/>
      </c>
    </row>
    <row r="12">
      <c r="A12" t="inlineStr">
        <is>
          <t>linear-attention variant</t>
        </is>
      </c>
      <c r="B12" s="9" t="n">
        <v>138022</v>
      </c>
      <c r="C12" t="n">
        <v>8000</v>
      </c>
      <c r="D12" t="n">
        <v>88</v>
      </c>
      <c r="E12" t="n">
        <v>120000</v>
      </c>
      <c r="F12" s="9">
        <f>E12*D12</f>
        <v/>
      </c>
      <c r="G12" s="9">
        <f>6*B12*F12</f>
        <v/>
      </c>
      <c r="H12" s="9" t="n">
        <v>9952000</v>
      </c>
      <c r="I12" s="9">
        <f>3*H12*E12</f>
        <v/>
      </c>
      <c r="J12">
        <f>G12/I12</f>
        <v/>
      </c>
      <c r="K12" s="9">
        <f>$B$6*B12</f>
        <v/>
      </c>
      <c r="L12">
        <f>F12/K12</f>
        <v/>
      </c>
      <c r="M12">
        <f>C12*D12/K12</f>
        <v/>
      </c>
      <c r="N12" s="9">
        <f>$B$5*B12</f>
        <v/>
      </c>
      <c r="O12" s="9">
        <f>$B$6*N12</f>
        <v/>
      </c>
      <c r="P12" s="9">
        <f>6*N12*O12</f>
        <v/>
      </c>
      <c r="Q12" s="9">
        <f>P12/($B$3*10^12*$B$4)/3600</f>
        <v/>
      </c>
      <c r="R12">
        <f>IF(Q12&lt;=$B$7,"yes","NO")</f>
        <v/>
      </c>
    </row>
    <row r="13">
      <c r="A13" t="inlineStr">
        <is>
          <t>early fusion</t>
        </is>
      </c>
      <c r="B13" s="9" t="n">
        <v>114630</v>
      </c>
      <c r="C13" t="n">
        <v>8000</v>
      </c>
      <c r="D13" t="n">
        <v>88</v>
      </c>
      <c r="E13" t="n">
        <v>120000</v>
      </c>
      <c r="F13" s="9">
        <f>E13*D13</f>
        <v/>
      </c>
      <c r="G13" s="9">
        <f>6*B13*F13</f>
        <v/>
      </c>
      <c r="H13" s="9" t="n">
        <v>17826560</v>
      </c>
      <c r="I13" s="9">
        <f>3*H13*E13</f>
        <v/>
      </c>
      <c r="J13">
        <f>G13/I13</f>
        <v/>
      </c>
      <c r="K13" s="9">
        <f>$B$6*B13</f>
        <v/>
      </c>
      <c r="L13">
        <f>F13/K13</f>
        <v/>
      </c>
      <c r="M13">
        <f>C13*D13/K13</f>
        <v/>
      </c>
      <c r="N13" s="9">
        <f>$B$5*B13</f>
        <v/>
      </c>
      <c r="O13" s="9">
        <f>$B$6*N13</f>
        <v/>
      </c>
      <c r="P13" s="9">
        <f>6*N13*O13</f>
        <v/>
      </c>
      <c r="Q13" s="9">
        <f>P13/($B$3*10^12*$B$4)/3600</f>
        <v/>
      </c>
      <c r="R13">
        <f>IF(Q13&lt;=$B$7,"yes","NO")</f>
        <v/>
      </c>
    </row>
    <row r="14">
      <c r="A14" t="inlineStr">
        <is>
          <t>distilled student</t>
        </is>
      </c>
      <c r="B14" s="9" t="n">
        <v>9030</v>
      </c>
      <c r="C14" t="n">
        <v>8000</v>
      </c>
      <c r="D14" t="n">
        <v>88</v>
      </c>
      <c r="E14" t="n">
        <v>120000</v>
      </c>
      <c r="F14" s="9">
        <f>E14*D14</f>
        <v/>
      </c>
      <c r="G14" s="9">
        <f>6*B14*F14</f>
        <v/>
      </c>
      <c r="H14" s="9" t="n">
        <v>1180864</v>
      </c>
      <c r="I14" s="9">
        <f>3*H14*E14</f>
        <v/>
      </c>
      <c r="J14">
        <f>G14/I14</f>
        <v/>
      </c>
      <c r="K14" s="9">
        <f>$B$6*B14</f>
        <v/>
      </c>
      <c r="L14">
        <f>F14/K14</f>
        <v/>
      </c>
      <c r="M14">
        <f>C14*D14/K14</f>
        <v/>
      </c>
      <c r="N14" s="9">
        <f>$B$5*B14</f>
        <v/>
      </c>
      <c r="O14" s="9">
        <f>$B$6*N14</f>
        <v/>
      </c>
      <c r="P14" s="9">
        <f>6*N14*O14</f>
        <v/>
      </c>
      <c r="Q14" s="9">
        <f>P14/($B$3*10^12*$B$4)/3600</f>
        <v/>
      </c>
      <c r="R14">
        <f>IF(Q14&lt;=$B$7,"yes","NO")</f>
        <v/>
      </c>
    </row>
    <row r="15">
      <c r="B15" s="9" t="n"/>
      <c r="F15" s="9" t="n"/>
      <c r="G15" s="9" t="n"/>
      <c r="H15" s="9" t="n"/>
      <c r="I15" s="9" t="n"/>
      <c r="K15" s="9" t="n"/>
      <c r="N15" s="9" t="n"/>
      <c r="O15" s="9" t="n"/>
      <c r="P15" s="9" t="n"/>
      <c r="Q15" s="9" t="n"/>
    </row>
    <row r="16">
      <c r="A16" s="10" t="inlineStr">
        <is>
          <t>Reference rows: what a single free GPU cannot answer (illustrative, not measured):</t>
        </is>
      </c>
      <c r="B16" s="9" t="n"/>
      <c r="F16" s="9" t="n"/>
      <c r="G16" s="9" t="n"/>
      <c r="H16" s="9" t="n"/>
      <c r="I16" s="9" t="n"/>
      <c r="K16" s="9" t="n"/>
      <c r="N16" s="9" t="n"/>
      <c r="O16" s="9" t="n"/>
      <c r="P16" s="9" t="n"/>
      <c r="Q16" s="9" t="n"/>
    </row>
    <row r="17">
      <c r="A17" t="inlineStr">
        <is>
          <t>Reference: 0.9B-parameter audio model (MOSS-Transcribe-Diarize class)</t>
        </is>
      </c>
      <c r="B17" s="9" t="n">
        <v>900000000</v>
      </c>
      <c r="F17" s="9" t="n"/>
      <c r="G17" s="9">
        <f>6*B17*K17</f>
        <v/>
      </c>
      <c r="H17" s="9" t="n"/>
      <c r="I17" s="9" t="n"/>
      <c r="K17" s="9">
        <f>$B$6*B17</f>
        <v/>
      </c>
      <c r="N17" s="9" t="n"/>
      <c r="O17" s="9" t="n"/>
      <c r="P17" s="9" t="n"/>
      <c r="Q17" s="9">
        <f>G17/($B$3*10^12*$B$4)/3600</f>
        <v/>
      </c>
      <c r="R17">
        <f>IF(Q17&lt;=$B$7,"yes","NO")</f>
        <v/>
      </c>
      <c r="S17">
        <f>Q17/24/365</f>
        <v/>
      </c>
    </row>
    <row r="18">
      <c r="A18" t="inlineStr">
        <is>
          <t>Reference: 10x of that (9B)</t>
        </is>
      </c>
      <c r="B18" s="9" t="n">
        <v>9000000000</v>
      </c>
      <c r="F18" s="9" t="n"/>
      <c r="G18" s="9">
        <f>6*B18*K18</f>
        <v/>
      </c>
      <c r="H18" s="9" t="n"/>
      <c r="I18" s="9" t="n"/>
      <c r="K18" s="9">
        <f>$B$6*B18</f>
        <v/>
      </c>
      <c r="N18" s="9" t="n"/>
      <c r="O18" s="9" t="n"/>
      <c r="P18" s="9" t="n"/>
      <c r="Q18" s="9">
        <f>G18/($B$3*10^12*$B$4)/3600</f>
        <v/>
      </c>
      <c r="R18">
        <f>IF(Q18&lt;=$B$7,"yes","NO")</f>
        <v/>
      </c>
      <c r="S18">
        <f>Q18/24/365</f>
        <v/>
      </c>
    </row>
    <row r="19">
      <c r="B19" s="9" t="n"/>
      <c r="F19" s="9" t="n"/>
      <c r="G19" s="9" t="n"/>
      <c r="H19" s="9" t="n"/>
      <c r="I19" s="9" t="n"/>
      <c r="K19" s="9" t="n"/>
      <c r="N19" s="9" t="n"/>
      <c r="O19" s="9" t="n"/>
      <c r="P19" s="9" t="n"/>
      <c r="Q19" s="9" t="n"/>
    </row>
    <row r="21">
      <c r="A21" t="inlineStr">
        <is>
          <t>How to read this:</t>
        </is>
      </c>
    </row>
    <row r="22">
      <c r="A22" t="inlineStr">
        <is>
          <t>- 6ND: training FLOPs ~ 6 x params x tokens (2ND forward + 4ND backward). Approximate here: the CNN and a 24-token transformer are not transformer-dominated, hence the cross-check against measured FLOPs (column J).</t>
        </is>
      </c>
    </row>
    <row r="23">
      <c r="A23" t="inlineStr">
        <is>
          <t>- Chinchilla heuristic: compute-optimal tokens D* ~ 20 x N. Our actual D counts repeated epochs; 'unique tokens / D*' shows how data-limited the run is.</t>
        </is>
      </c>
    </row>
    <row r="24">
      <c r="A24" t="inlineStr">
        <is>
          <t>- The 10x rows apply the same heuristic. For these tiny models compute is trivial, so the GPU budget is NOT the binding constraint; the realism of the DATA is.</t>
        </is>
      </c>
    </row>
    <row r="25">
      <c r="A25" t="inlineStr">
        <is>
          <t>- The reference rows bound the single-GPU question: a 0.9B model at Chinchilla tokens needs on the order of two months of T4 time (about 1,400 GPU-hours, against a ~12 h session), and its 10x version about 16 years. We can fine-tune or quantize such a model, but not answer how it would scale or how a 10x version would train.</t>
        </is>
      </c>
    </row>
    <row r="26">
      <c r="A26" t="inlineStr">
        <is>
          <t>- Peak TFLOPs and MFU are assumptions (yellow cells). Change them and every dependent cell updates.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field</t>
        </is>
      </c>
      <c r="B1" s="2" t="inlineStr">
        <is>
          <t>cpu</t>
        </is>
      </c>
      <c r="C1" s="2" t="inlineStr">
        <is>
          <t>t4gpu</t>
        </is>
      </c>
    </row>
    <row r="2">
      <c r="A2" t="inlineStr">
        <is>
          <t>host_class</t>
        </is>
      </c>
      <c r="B2" t="inlineStr">
        <is>
          <t>intel-vm</t>
        </is>
      </c>
      <c r="C2" t="inlineStr">
        <is>
          <t>colab-t4</t>
        </is>
      </c>
    </row>
    <row r="3">
      <c r="A3" t="inlineStr">
        <is>
          <t>host_label</t>
        </is>
      </c>
      <c r="B3" t="inlineStr">
        <is>
          <t>Intel VM (CPU only)</t>
        </is>
      </c>
      <c r="C3" t="inlineStr">
        <is>
          <t>Colab (T4 GPU)</t>
        </is>
      </c>
    </row>
    <row r="4">
      <c r="A4" t="inlineStr">
        <is>
          <t>platform</t>
        </is>
      </c>
      <c r="B4" t="inlineStr">
        <is>
          <t>windows</t>
        </is>
      </c>
      <c r="C4" t="inlineStr">
        <is>
          <t>colab</t>
        </is>
      </c>
    </row>
    <row r="5">
      <c r="A5" t="inlineStr">
        <is>
          <t>python</t>
        </is>
      </c>
      <c r="B5" t="inlineStr">
        <is>
          <t>3.14.7</t>
        </is>
      </c>
      <c r="C5" t="inlineStr">
        <is>
          <t>3.13.15</t>
        </is>
      </c>
    </row>
    <row r="6">
      <c r="A6" t="inlineStr">
        <is>
          <t>torch</t>
        </is>
      </c>
      <c r="B6" t="inlineStr">
        <is>
          <t>2.14.1+cpu</t>
        </is>
      </c>
      <c r="C6" t="inlineStr">
        <is>
          <t>2.11.0+cu130</t>
        </is>
      </c>
    </row>
    <row r="7">
      <c r="A7" t="inlineStr">
        <is>
          <t>torch_cuda_build</t>
        </is>
      </c>
      <c r="B7" t="inlineStr">
        <is>
          <t>None</t>
        </is>
      </c>
      <c r="C7" t="inlineStr">
        <is>
          <t>13.0</t>
        </is>
      </c>
    </row>
    <row r="8">
      <c r="A8" t="inlineStr">
        <is>
          <t>device</t>
        </is>
      </c>
      <c r="B8" t="inlineStr">
        <is>
          <t>cpu</t>
        </is>
      </c>
      <c r="C8" t="inlineStr">
        <is>
          <t>cuda</t>
        </is>
      </c>
    </row>
    <row r="9">
      <c r="A9" t="inlineStr">
        <is>
          <t>gpu_name</t>
        </is>
      </c>
      <c r="B9" t="inlineStr">
        <is>
          <t>None</t>
        </is>
      </c>
      <c r="C9" t="inlineStr">
        <is>
          <t>Tesla T4</t>
        </is>
      </c>
    </row>
    <row r="10">
      <c r="A10" t="inlineStr">
        <is>
          <t>vram_gb</t>
        </is>
      </c>
      <c r="B10" t="inlineStr">
        <is>
          <t>None</t>
        </is>
      </c>
      <c r="C10" t="inlineStr">
        <is>
          <t>14.6</t>
        </is>
      </c>
    </row>
    <row r="11">
      <c r="A11" t="inlineStr">
        <is>
          <t>compute_capability</t>
        </is>
      </c>
      <c r="B11" t="inlineStr">
        <is>
          <t>None</t>
        </is>
      </c>
      <c r="C11" t="inlineStr">
        <is>
          <t>7.5</t>
        </is>
      </c>
    </row>
    <row r="12">
      <c r="A12" t="inlineStr">
        <is>
          <t>driver</t>
        </is>
      </c>
      <c r="B12" t="inlineStr">
        <is>
          <t>None</t>
        </is>
      </c>
      <c r="C12" t="inlineStr">
        <is>
          <t>580.82.07</t>
        </is>
      </c>
    </row>
    <row r="13">
      <c r="A13" t="inlineStr">
        <is>
          <t>cpu_model</t>
        </is>
      </c>
      <c r="B13" t="inlineStr">
        <is>
          <t>13th Gen Intel(R) Core(TM) i9-13900HX</t>
        </is>
      </c>
      <c r="C13" t="inlineStr">
        <is>
          <t>Intel(R) Xeon(R) CPU @ 2.00GHz</t>
        </is>
      </c>
    </row>
    <row r="14">
      <c r="A14" t="inlineStr">
        <is>
          <t>cpu_count</t>
        </is>
      </c>
      <c r="B14" t="inlineStr">
        <is>
          <t>16</t>
        </is>
      </c>
      <c r="C14" t="inlineStr">
        <is>
          <t>2</t>
        </is>
      </c>
    </row>
    <row r="15">
      <c r="A15" t="inlineStr">
        <is>
          <t>ram_gib</t>
        </is>
      </c>
      <c r="B15" t="inlineStr">
        <is>
          <t>8.5</t>
        </is>
      </c>
      <c r="C15" t="inlineStr">
        <is>
          <t>12.7</t>
        </is>
      </c>
    </row>
    <row r="16">
      <c r="A16" t="inlineStr">
        <is>
          <t>virtualized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vm_product</t>
        </is>
      </c>
      <c r="B17" t="inlineStr">
        <is>
          <t>Virtual Machine</t>
        </is>
      </c>
      <c r="C17" t="inlineStr">
        <is>
          <t>Google Compute Engine (docker)</t>
        </is>
      </c>
    </row>
    <row r="18">
      <c r="A18" t="inlineStr">
        <is>
          <t>numpy</t>
        </is>
      </c>
      <c r="B18" t="inlineStr">
        <is>
          <t>2.5.4</t>
        </is>
      </c>
      <c r="C18" t="inlineStr">
        <is>
          <t>2.1.3</t>
        </is>
      </c>
    </row>
    <row r="19">
      <c r="A19" t="inlineStr">
        <is>
          <t>pandas</t>
        </is>
      </c>
      <c r="B19" t="inlineStr">
        <is>
          <t>3.0.6</t>
        </is>
      </c>
      <c r="C19" t="inlineStr">
        <is>
          <t>2.2.3</t>
        </is>
      </c>
    </row>
    <row r="20">
      <c r="A20" t="inlineStr">
        <is>
          <t>matplotlib</t>
        </is>
      </c>
      <c r="B20" t="inlineStr">
        <is>
          <t>3.11.2</t>
        </is>
      </c>
      <c r="C20" t="inlineStr">
        <is>
          <t>3.10.0</t>
        </is>
      </c>
    </row>
    <row r="22">
      <c r="A22" t="inlineStr">
        <is>
          <t>total runtime (s)</t>
        </is>
      </c>
      <c r="B22" t="n">
        <v>1177.5</v>
      </c>
      <c r="C22" t="n">
        <v>302.2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2026-10-12T00:40:19Z</dcterms:created>
  <dcterms:modified xmlns:dcterms="http://purl.org/dc/terms/" xmlns:xsi="http://www.w3.org/2001/XMLSchema-instance" xsi:type="dcterms:W3CDTF">2026-10-12T00:40:19Z</dcterms:modified>
</cp:coreProperties>
</file>